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ck\mrna_trna_readcount\"/>
    </mc:Choice>
  </mc:AlternateContent>
  <xr:revisionPtr revIDLastSave="0" documentId="13_ncr:1_{840954DE-05C8-476C-9D87-A27C4EEB4244}" xr6:coauthVersionLast="47" xr6:coauthVersionMax="47" xr10:uidLastSave="{00000000-0000-0000-0000-000000000000}"/>
  <bookViews>
    <workbookView xWindow="-28920" yWindow="-120" windowWidth="29040" windowHeight="15990" xr2:uid="{603BEFF0-2608-4BEE-8B26-E657E62CCF31}"/>
  </bookViews>
  <sheets>
    <sheet name="A549_bulkrnaseq_codons_propo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E23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2" i="1"/>
  <c r="E21" i="1"/>
  <c r="E20" i="1"/>
  <c r="E19" i="1"/>
  <c r="E18" i="1"/>
  <c r="E17" i="1"/>
  <c r="E16" i="1"/>
  <c r="E15" i="1"/>
  <c r="E13" i="1"/>
  <c r="E14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<sst xmlns="http://schemas.openxmlformats.org/spreadsheetml/2006/main" count="176" uniqueCount="140">
  <si>
    <t>Ala_GCA</t>
  </si>
  <si>
    <t>Ala_GCG</t>
  </si>
  <si>
    <t>Arg_AGA</t>
  </si>
  <si>
    <t>Arg_AGG</t>
  </si>
  <si>
    <t>Arg_CGA</t>
  </si>
  <si>
    <t>Arg_CGC</t>
  </si>
  <si>
    <t>Arg_CGG</t>
  </si>
  <si>
    <t>Arg_CGU</t>
  </si>
  <si>
    <t>Asn_AAC</t>
  </si>
  <si>
    <t>Asn_AAU</t>
  </si>
  <si>
    <t>Asp_GAC</t>
  </si>
  <si>
    <t>Asp_GAU</t>
  </si>
  <si>
    <t>Cys_UGC</t>
  </si>
  <si>
    <t>Cys_UGU</t>
  </si>
  <si>
    <t>Gln_CAA</t>
  </si>
  <si>
    <t>Gln_CAG</t>
  </si>
  <si>
    <t>Glu_GAA</t>
  </si>
  <si>
    <t>Glu_GAG</t>
  </si>
  <si>
    <t>Gly_GGA</t>
  </si>
  <si>
    <t>Gly_GGC</t>
  </si>
  <si>
    <t>Gly_GGG</t>
  </si>
  <si>
    <t>Gly_GGU</t>
  </si>
  <si>
    <t>His_CAC</t>
  </si>
  <si>
    <t>His_CAU</t>
  </si>
  <si>
    <t>Ile_AUA</t>
  </si>
  <si>
    <t>Ile_AUC</t>
  </si>
  <si>
    <t>Ile_AUU</t>
  </si>
  <si>
    <t>Leu_CUA</t>
  </si>
  <si>
    <t>Leu_CUC</t>
  </si>
  <si>
    <t>Leu_CUG</t>
  </si>
  <si>
    <t>Leu_CUU</t>
  </si>
  <si>
    <t>Leu_UUA</t>
  </si>
  <si>
    <t>Leu_UUG</t>
  </si>
  <si>
    <t>Lys_AAA</t>
  </si>
  <si>
    <t>Lys_AAG</t>
  </si>
  <si>
    <t>Met_AUG</t>
  </si>
  <si>
    <t>Phe_UUC</t>
  </si>
  <si>
    <t>Phe_UUU</t>
  </si>
  <si>
    <t>Pro_CCA</t>
  </si>
  <si>
    <t>Pro_CCC</t>
  </si>
  <si>
    <t>Pro_CCG</t>
  </si>
  <si>
    <t>Pro_CCU</t>
  </si>
  <si>
    <t>Ser_AGC</t>
  </si>
  <si>
    <t>Ser_AGU</t>
  </si>
  <si>
    <t>Ser_UCA</t>
  </si>
  <si>
    <t>Ser_UCC</t>
  </si>
  <si>
    <t>Ser_UCG</t>
  </si>
  <si>
    <t>Ser_UCU</t>
  </si>
  <si>
    <t>TER_UAA</t>
  </si>
  <si>
    <t>TER_UAG</t>
  </si>
  <si>
    <t>TER_UGA</t>
  </si>
  <si>
    <t>Thr_ACA</t>
  </si>
  <si>
    <t>Thr_ACC</t>
  </si>
  <si>
    <t>Thr_ACG</t>
  </si>
  <si>
    <t>Thr_ACU</t>
  </si>
  <si>
    <t>Trp_UGG</t>
  </si>
  <si>
    <t>Tyr_UAC</t>
  </si>
  <si>
    <t>Tyr_UAU</t>
  </si>
  <si>
    <t>Val_GUA</t>
  </si>
  <si>
    <t>Val_GUC</t>
  </si>
  <si>
    <t>Val_GUG</t>
  </si>
  <si>
    <t>Val_GUU</t>
  </si>
  <si>
    <t>Ala-CGC</t>
  </si>
  <si>
    <t>Ala-TGC</t>
  </si>
  <si>
    <t>Arg-CCG</t>
  </si>
  <si>
    <t>Arg-CCT</t>
  </si>
  <si>
    <t>Arg-TCG</t>
  </si>
  <si>
    <t>Arg-TCT</t>
  </si>
  <si>
    <t>Asn-GTT</t>
  </si>
  <si>
    <t>Asp-GTC</t>
  </si>
  <si>
    <t>Cys-GCA</t>
  </si>
  <si>
    <t>Gln-CTG</t>
  </si>
  <si>
    <t>Gln-TTG</t>
  </si>
  <si>
    <t>Glu-CTC</t>
  </si>
  <si>
    <t>Ile-GAT</t>
  </si>
  <si>
    <t>Ile-TAT</t>
  </si>
  <si>
    <t>Leu-AAG</t>
  </si>
  <si>
    <t>Leu-CAA</t>
  </si>
  <si>
    <t>Leu-TAA</t>
  </si>
  <si>
    <t>Leu-TAG</t>
  </si>
  <si>
    <t>Phe-GAA</t>
  </si>
  <si>
    <t>Pro-CGG</t>
  </si>
  <si>
    <t>Pro-TGG</t>
  </si>
  <si>
    <t>Ser-CGA</t>
  </si>
  <si>
    <t>Ser-GCT</t>
  </si>
  <si>
    <t>Ser-TGA</t>
  </si>
  <si>
    <t>Thr-TGT</t>
  </si>
  <si>
    <t>Val-CAC</t>
  </si>
  <si>
    <t>Val-TAC</t>
  </si>
  <si>
    <t>Ala_GCC</t>
    <phoneticPr fontId="18" type="noConversion"/>
  </si>
  <si>
    <t>Ala_GCU</t>
    <phoneticPr fontId="18" type="noConversion"/>
  </si>
  <si>
    <t>Ala-AGC</t>
    <phoneticPr fontId="18" type="noConversion"/>
  </si>
  <si>
    <t>Arg-ACG</t>
    <phoneticPr fontId="18" type="noConversion"/>
  </si>
  <si>
    <t>TER_UAA</t>
    <phoneticPr fontId="18" type="noConversion"/>
  </si>
  <si>
    <t>TER_UAG</t>
    <phoneticPr fontId="18" type="noConversion"/>
  </si>
  <si>
    <t>TER_UGA</t>
    <phoneticPr fontId="18" type="noConversion"/>
  </si>
  <si>
    <t>SeC-TCA</t>
    <phoneticPr fontId="18" type="noConversion"/>
  </si>
  <si>
    <t>Asn_AAC</t>
    <phoneticPr fontId="18" type="noConversion"/>
  </si>
  <si>
    <t>Cys_UGC</t>
    <phoneticPr fontId="18" type="noConversion"/>
  </si>
  <si>
    <t>Gln_CAG</t>
    <phoneticPr fontId="18" type="noConversion"/>
  </si>
  <si>
    <t>Glu-TTC</t>
    <phoneticPr fontId="18" type="noConversion"/>
  </si>
  <si>
    <t>Gly_GGG</t>
    <phoneticPr fontId="18" type="noConversion"/>
  </si>
  <si>
    <t>Gly-CCC</t>
    <phoneticPr fontId="18" type="noConversion"/>
  </si>
  <si>
    <t>Gly_GGC</t>
    <phoneticPr fontId="18" type="noConversion"/>
  </si>
  <si>
    <t>Gly-GCC</t>
    <phoneticPr fontId="18" type="noConversion"/>
  </si>
  <si>
    <t>Gly_GGA</t>
    <phoneticPr fontId="18" type="noConversion"/>
  </si>
  <si>
    <t>Gly-TCC</t>
    <phoneticPr fontId="18" type="noConversion"/>
  </si>
  <si>
    <t>His_CAC</t>
    <phoneticPr fontId="18" type="noConversion"/>
  </si>
  <si>
    <t>His-GTG</t>
    <phoneticPr fontId="18" type="noConversion"/>
  </si>
  <si>
    <t>Ile_AUU</t>
    <phoneticPr fontId="18" type="noConversion"/>
  </si>
  <si>
    <t>Ile-AAT</t>
    <phoneticPr fontId="18" type="noConversion"/>
  </si>
  <si>
    <t>Leu_CUC</t>
    <phoneticPr fontId="18" type="noConversion"/>
  </si>
  <si>
    <t>Leu_UUG</t>
    <phoneticPr fontId="18" type="noConversion"/>
  </si>
  <si>
    <t>Leu_CUG</t>
    <phoneticPr fontId="18" type="noConversion"/>
  </si>
  <si>
    <t>Leu-CAG</t>
    <phoneticPr fontId="18" type="noConversion"/>
  </si>
  <si>
    <t>Lys_AAG</t>
    <phoneticPr fontId="18" type="noConversion"/>
  </si>
  <si>
    <t>Lys-CTT</t>
    <phoneticPr fontId="18" type="noConversion"/>
  </si>
  <si>
    <t>Lys_AAA</t>
    <phoneticPr fontId="18" type="noConversion"/>
  </si>
  <si>
    <t>Lys-TTT</t>
    <phoneticPr fontId="18" type="noConversion"/>
  </si>
  <si>
    <t>Met_AUG</t>
    <phoneticPr fontId="18" type="noConversion"/>
  </si>
  <si>
    <t>Met-CAT</t>
    <phoneticPr fontId="18" type="noConversion"/>
  </si>
  <si>
    <t>Pro_CCC</t>
    <phoneticPr fontId="18" type="noConversion"/>
  </si>
  <si>
    <t>Pro-AGG</t>
    <phoneticPr fontId="18" type="noConversion"/>
  </si>
  <si>
    <t>Ser_UCC</t>
    <phoneticPr fontId="18" type="noConversion"/>
  </si>
  <si>
    <t>Ser-AGA</t>
    <phoneticPr fontId="18" type="noConversion"/>
  </si>
  <si>
    <t>Ser_UCG</t>
    <phoneticPr fontId="18" type="noConversion"/>
  </si>
  <si>
    <t>Ser_AGC</t>
    <phoneticPr fontId="18" type="noConversion"/>
  </si>
  <si>
    <t>Ser_UCA</t>
    <phoneticPr fontId="18" type="noConversion"/>
  </si>
  <si>
    <t>Thr_ACC</t>
    <phoneticPr fontId="18" type="noConversion"/>
  </si>
  <si>
    <t>Thr_ACU</t>
    <phoneticPr fontId="18" type="noConversion"/>
  </si>
  <si>
    <t>Thr-AGT</t>
    <phoneticPr fontId="18" type="noConversion"/>
  </si>
  <si>
    <t>Thr-CGT</t>
    <phoneticPr fontId="18" type="noConversion"/>
  </si>
  <si>
    <t>Trp_UGG</t>
    <phoneticPr fontId="18" type="noConversion"/>
  </si>
  <si>
    <t>Trp-CCA</t>
    <phoneticPr fontId="18" type="noConversion"/>
  </si>
  <si>
    <t>Tyr_UAU</t>
    <phoneticPr fontId="18" type="noConversion"/>
  </si>
  <si>
    <t>Tyr-ATA</t>
    <phoneticPr fontId="18" type="noConversion"/>
  </si>
  <si>
    <t>Tyr-GTA</t>
    <phoneticPr fontId="18" type="noConversion"/>
  </si>
  <si>
    <t>Val_GUC</t>
    <phoneticPr fontId="18" type="noConversion"/>
  </si>
  <si>
    <t>Val-AAC</t>
    <phoneticPr fontId="18" type="noConversion"/>
  </si>
  <si>
    <t>Val_GUG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</si>
</sst>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D7DA-951D-4FA9-8C4C-7F045F26D381}">
  <dimension ref="A1:H64"/>
  <sheetViews>
    <sheetView tabSelected="1" topLeftCell="A22" workbookViewId="0">
      <selection activeCell="H45" sqref="H45"/>
    </sheetView>
  </sheetViews>
  <sheetFormatPr defaultRowHeight="14.25"/>
  <cols>
    <col min="1" max="1" width="9.25" customWidth="1"/>
    <col min="6" max="6" width="9.25" customWidth="1"/>
  </cols>
  <sheetData>
    <row r="1" spans="1:7">
      <c r="A1" t="s">
        <v>0</v>
      </c>
      <c r="B1">
        <v>1.8335899999999999E-2</v>
      </c>
      <c r="D1" t="s">
        <v>91</v>
      </c>
      <c r="E1">
        <f>B2+B4</f>
        <v>4.4896000000000005E-2</v>
      </c>
      <c r="F1" s="1" t="s">
        <v>89</v>
      </c>
      <c r="G1" s="1" t="s">
        <v>90</v>
      </c>
    </row>
    <row r="2" spans="1:7">
      <c r="A2" s="1" t="s">
        <v>89</v>
      </c>
      <c r="B2">
        <v>2.3817600000000001E-2</v>
      </c>
      <c r="D2" t="s">
        <v>62</v>
      </c>
      <c r="E2">
        <f>B3</f>
        <v>5.4163099999999997E-3</v>
      </c>
      <c r="F2" t="s">
        <v>1</v>
      </c>
    </row>
    <row r="3" spans="1:7">
      <c r="A3" t="s">
        <v>1</v>
      </c>
      <c r="B3">
        <v>5.4163099999999997E-3</v>
      </c>
      <c r="D3" t="s">
        <v>63</v>
      </c>
      <c r="E3">
        <f>B1</f>
        <v>1.8335899999999999E-2</v>
      </c>
      <c r="F3" t="s">
        <v>0</v>
      </c>
    </row>
    <row r="4" spans="1:7">
      <c r="A4" s="1" t="s">
        <v>90</v>
      </c>
      <c r="B4">
        <v>2.1078400000000001E-2</v>
      </c>
      <c r="D4" t="s">
        <v>92</v>
      </c>
      <c r="E4">
        <f>B10+B8</f>
        <v>1.3524690000000001E-2</v>
      </c>
      <c r="F4" t="s">
        <v>5</v>
      </c>
      <c r="G4" t="s">
        <v>7</v>
      </c>
    </row>
    <row r="5" spans="1:7">
      <c r="A5" t="s">
        <v>2</v>
      </c>
      <c r="B5">
        <v>1.33096E-2</v>
      </c>
      <c r="D5" t="s">
        <v>64</v>
      </c>
      <c r="E5">
        <f>B9</f>
        <v>9.2694300000000004E-3</v>
      </c>
      <c r="F5" t="s">
        <v>6</v>
      </c>
    </row>
    <row r="6" spans="1:7">
      <c r="A6" t="s">
        <v>3</v>
      </c>
      <c r="B6">
        <v>1.00427E-2</v>
      </c>
      <c r="D6" t="s">
        <v>65</v>
      </c>
      <c r="E6">
        <f>B6</f>
        <v>1.00427E-2</v>
      </c>
      <c r="F6" t="s">
        <v>3</v>
      </c>
    </row>
    <row r="7" spans="1:7">
      <c r="A7" t="s">
        <v>4</v>
      </c>
      <c r="B7">
        <v>6.9940000000000002E-3</v>
      </c>
      <c r="D7" t="s">
        <v>66</v>
      </c>
      <c r="E7">
        <f>B7</f>
        <v>6.9940000000000002E-3</v>
      </c>
      <c r="F7" t="s">
        <v>4</v>
      </c>
    </row>
    <row r="8" spans="1:7">
      <c r="A8" t="s">
        <v>5</v>
      </c>
      <c r="B8">
        <v>7.9532000000000005E-3</v>
      </c>
      <c r="D8" t="s">
        <v>67</v>
      </c>
      <c r="E8">
        <f>B5</f>
        <v>1.33096E-2</v>
      </c>
      <c r="F8" t="s">
        <v>2</v>
      </c>
    </row>
    <row r="9" spans="1:7">
      <c r="A9" t="s">
        <v>6</v>
      </c>
      <c r="B9">
        <v>9.2694300000000004E-3</v>
      </c>
      <c r="D9" t="s">
        <v>68</v>
      </c>
      <c r="E9">
        <f>B11+B12</f>
        <v>3.8632399999999997E-2</v>
      </c>
      <c r="F9" t="s">
        <v>97</v>
      </c>
      <c r="G9" t="s">
        <v>9</v>
      </c>
    </row>
    <row r="10" spans="1:7">
      <c r="A10" t="s">
        <v>7</v>
      </c>
      <c r="B10">
        <v>5.5714900000000001E-3</v>
      </c>
      <c r="D10" t="s">
        <v>69</v>
      </c>
      <c r="E10">
        <f>B13+B14</f>
        <v>5.2515199999999998E-2</v>
      </c>
      <c r="F10" t="s">
        <v>10</v>
      </c>
      <c r="G10" t="s">
        <v>11</v>
      </c>
    </row>
    <row r="11" spans="1:7">
      <c r="A11" t="s">
        <v>8</v>
      </c>
      <c r="B11">
        <v>1.8443500000000002E-2</v>
      </c>
      <c r="D11" t="s">
        <v>70</v>
      </c>
      <c r="E11">
        <f>B15+B16</f>
        <v>1.7060970000000002E-2</v>
      </c>
      <c r="F11" t="s">
        <v>98</v>
      </c>
      <c r="G11" t="s">
        <v>13</v>
      </c>
    </row>
    <row r="12" spans="1:7">
      <c r="A12" t="s">
        <v>9</v>
      </c>
      <c r="B12">
        <v>2.0188899999999999E-2</v>
      </c>
      <c r="D12" t="s">
        <v>71</v>
      </c>
      <c r="E12">
        <f>B18</f>
        <v>3.36855E-2</v>
      </c>
      <c r="F12" t="s">
        <v>99</v>
      </c>
    </row>
    <row r="13" spans="1:7">
      <c r="A13" t="s">
        <v>10</v>
      </c>
      <c r="B13">
        <v>2.39639E-2</v>
      </c>
      <c r="D13" t="s">
        <v>72</v>
      </c>
      <c r="E13">
        <f>B17</f>
        <v>1.43476E-2</v>
      </c>
      <c r="F13" t="s">
        <v>14</v>
      </c>
    </row>
    <row r="14" spans="1:7">
      <c r="A14" t="s">
        <v>11</v>
      </c>
      <c r="B14">
        <v>2.8551300000000002E-2</v>
      </c>
      <c r="D14" t="s">
        <v>73</v>
      </c>
      <c r="E14">
        <f>B20</f>
        <v>3.9366900000000003E-2</v>
      </c>
      <c r="F14" t="s">
        <v>17</v>
      </c>
    </row>
    <row r="15" spans="1:7">
      <c r="A15" t="s">
        <v>12</v>
      </c>
      <c r="B15">
        <v>8.1866600000000001E-3</v>
      </c>
      <c r="D15" s="2" t="s">
        <v>100</v>
      </c>
      <c r="E15" s="2">
        <f>B19</f>
        <v>3.93161E-2</v>
      </c>
      <c r="F15" s="2" t="s">
        <v>16</v>
      </c>
    </row>
    <row r="16" spans="1:7">
      <c r="A16" t="s">
        <v>13</v>
      </c>
      <c r="B16">
        <v>8.8743099999999998E-3</v>
      </c>
      <c r="D16" t="s">
        <v>102</v>
      </c>
      <c r="E16">
        <f>B23</f>
        <v>1.33075E-2</v>
      </c>
      <c r="F16" t="s">
        <v>101</v>
      </c>
    </row>
    <row r="17" spans="1:7">
      <c r="A17" t="s">
        <v>14</v>
      </c>
      <c r="B17">
        <v>1.43476E-2</v>
      </c>
      <c r="D17" t="s">
        <v>104</v>
      </c>
      <c r="E17">
        <f>B24+B22</f>
        <v>3.1816999999999998E-2</v>
      </c>
      <c r="F17" t="s">
        <v>103</v>
      </c>
      <c r="G17" t="s">
        <v>21</v>
      </c>
    </row>
    <row r="18" spans="1:7">
      <c r="A18" t="s">
        <v>15</v>
      </c>
      <c r="B18">
        <v>3.36855E-2</v>
      </c>
      <c r="D18" t="s">
        <v>106</v>
      </c>
      <c r="E18">
        <f>B21</f>
        <v>1.8456299999999998E-2</v>
      </c>
      <c r="F18" t="s">
        <v>105</v>
      </c>
    </row>
    <row r="19" spans="1:7">
      <c r="A19" t="s">
        <v>16</v>
      </c>
      <c r="B19">
        <v>3.93161E-2</v>
      </c>
      <c r="D19" t="s">
        <v>108</v>
      </c>
      <c r="E19">
        <f>B25+B26</f>
        <v>2.3202399999999998E-2</v>
      </c>
      <c r="F19" t="s">
        <v>107</v>
      </c>
      <c r="G19" t="s">
        <v>23</v>
      </c>
    </row>
    <row r="20" spans="1:7">
      <c r="A20" t="s">
        <v>17</v>
      </c>
      <c r="B20">
        <v>3.9366900000000003E-2</v>
      </c>
      <c r="D20" t="s">
        <v>110</v>
      </c>
      <c r="E20">
        <f>B29</f>
        <v>1.9442399999999999E-2</v>
      </c>
      <c r="F20" t="s">
        <v>109</v>
      </c>
    </row>
    <row r="21" spans="1:7">
      <c r="A21" t="s">
        <v>18</v>
      </c>
      <c r="B21">
        <v>1.8456299999999998E-2</v>
      </c>
      <c r="D21" t="s">
        <v>74</v>
      </c>
      <c r="E21">
        <f>B28</f>
        <v>1.92383E-2</v>
      </c>
      <c r="F21" t="s">
        <v>25</v>
      </c>
    </row>
    <row r="22" spans="1:7">
      <c r="A22" t="s">
        <v>19</v>
      </c>
      <c r="B22">
        <v>1.9125099999999999E-2</v>
      </c>
      <c r="D22" t="s">
        <v>75</v>
      </c>
      <c r="E22">
        <f>B27</f>
        <v>9.1913600000000008E-3</v>
      </c>
      <c r="F22" t="s">
        <v>24</v>
      </c>
    </row>
    <row r="23" spans="1:7">
      <c r="A23" t="s">
        <v>20</v>
      </c>
      <c r="B23">
        <v>1.33075E-2</v>
      </c>
      <c r="D23" t="s">
        <v>76</v>
      </c>
      <c r="E23">
        <f>B33+B31</f>
        <v>3.02762E-2</v>
      </c>
      <c r="F23" t="s">
        <v>111</v>
      </c>
      <c r="G23" t="s">
        <v>30</v>
      </c>
    </row>
    <row r="24" spans="1:7">
      <c r="A24" t="s">
        <v>21</v>
      </c>
      <c r="B24">
        <v>1.2691900000000001E-2</v>
      </c>
      <c r="D24" t="s">
        <v>77</v>
      </c>
      <c r="E24">
        <f>B35</f>
        <v>1.39027E-2</v>
      </c>
      <c r="F24" t="s">
        <v>112</v>
      </c>
    </row>
    <row r="25" spans="1:7">
      <c r="A25" t="s">
        <v>22</v>
      </c>
      <c r="B25">
        <v>1.2031399999999999E-2</v>
      </c>
      <c r="D25" t="s">
        <v>114</v>
      </c>
      <c r="E25">
        <f>B32</f>
        <v>3.0274300000000001E-2</v>
      </c>
      <c r="F25" t="s">
        <v>113</v>
      </c>
    </row>
    <row r="26" spans="1:7">
      <c r="A26" t="s">
        <v>23</v>
      </c>
      <c r="B26">
        <v>1.1171E-2</v>
      </c>
      <c r="D26" t="s">
        <v>78</v>
      </c>
      <c r="E26">
        <f>B34</f>
        <v>9.8737800000000004E-3</v>
      </c>
      <c r="F26" t="s">
        <v>31</v>
      </c>
    </row>
    <row r="27" spans="1:7">
      <c r="A27" t="s">
        <v>24</v>
      </c>
      <c r="B27">
        <v>9.1913600000000008E-3</v>
      </c>
      <c r="D27" t="s">
        <v>79</v>
      </c>
      <c r="E27">
        <f>B30</f>
        <v>9.1930799999999993E-3</v>
      </c>
      <c r="F27" t="s">
        <v>27</v>
      </c>
    </row>
    <row r="28" spans="1:7">
      <c r="A28" t="s">
        <v>25</v>
      </c>
      <c r="B28">
        <v>1.92383E-2</v>
      </c>
      <c r="D28" s="2" t="s">
        <v>116</v>
      </c>
      <c r="E28" s="2">
        <f>B37</f>
        <v>3.5009100000000001E-2</v>
      </c>
      <c r="F28" s="2" t="s">
        <v>115</v>
      </c>
    </row>
    <row r="29" spans="1:7">
      <c r="A29" t="s">
        <v>26</v>
      </c>
      <c r="B29">
        <v>1.9442399999999999E-2</v>
      </c>
      <c r="D29" t="s">
        <v>118</v>
      </c>
      <c r="E29">
        <f>B36</f>
        <v>3.2000599999999997E-2</v>
      </c>
      <c r="F29" t="s">
        <v>117</v>
      </c>
    </row>
    <row r="30" spans="1:7">
      <c r="A30" t="s">
        <v>27</v>
      </c>
      <c r="B30">
        <v>9.1930799999999993E-3</v>
      </c>
      <c r="D30" t="s">
        <v>120</v>
      </c>
      <c r="E30">
        <f>B38</f>
        <v>2.1783799999999999E-2</v>
      </c>
      <c r="F30" t="s">
        <v>119</v>
      </c>
    </row>
    <row r="31" spans="1:7">
      <c r="A31" t="s">
        <v>28</v>
      </c>
      <c r="B31">
        <v>1.53797E-2</v>
      </c>
      <c r="D31" t="s">
        <v>80</v>
      </c>
      <c r="E31">
        <f>B39+B40</f>
        <v>3.4315699999999998E-2</v>
      </c>
      <c r="F31" t="s">
        <v>36</v>
      </c>
      <c r="G31" t="s">
        <v>37</v>
      </c>
    </row>
    <row r="32" spans="1:7">
      <c r="A32" t="s">
        <v>29</v>
      </c>
      <c r="B32">
        <v>3.0274300000000001E-2</v>
      </c>
      <c r="D32" t="s">
        <v>122</v>
      </c>
      <c r="E32">
        <f>B44+B42</f>
        <v>3.5222799999999999E-2</v>
      </c>
      <c r="F32" t="s">
        <v>121</v>
      </c>
      <c r="G32" t="s">
        <v>41</v>
      </c>
    </row>
    <row r="33" spans="1:8">
      <c r="A33" t="s">
        <v>30</v>
      </c>
      <c r="B33">
        <v>1.48965E-2</v>
      </c>
      <c r="D33" t="s">
        <v>81</v>
      </c>
      <c r="E33">
        <f>B43</f>
        <v>5.1137200000000004E-3</v>
      </c>
      <c r="F33" t="s">
        <v>40</v>
      </c>
    </row>
    <row r="34" spans="1:8">
      <c r="A34" t="s">
        <v>31</v>
      </c>
      <c r="B34">
        <v>9.8737800000000004E-3</v>
      </c>
      <c r="D34" t="s">
        <v>82</v>
      </c>
      <c r="E34">
        <f>B41</f>
        <v>1.8824899999999999E-2</v>
      </c>
      <c r="F34" t="s">
        <v>38</v>
      </c>
    </row>
    <row r="35" spans="1:8">
      <c r="A35" t="s">
        <v>32</v>
      </c>
      <c r="B35">
        <v>1.39027E-2</v>
      </c>
      <c r="D35" t="s">
        <v>96</v>
      </c>
      <c r="E35">
        <f>B51+B52+B53</f>
        <v>2.0431390000000002E-3</v>
      </c>
      <c r="F35" t="s">
        <v>93</v>
      </c>
      <c r="G35" t="s">
        <v>94</v>
      </c>
      <c r="H35" t="s">
        <v>95</v>
      </c>
    </row>
    <row r="36" spans="1:8">
      <c r="A36" t="s">
        <v>33</v>
      </c>
      <c r="B36">
        <v>3.2000599999999997E-2</v>
      </c>
      <c r="D36" t="s">
        <v>124</v>
      </c>
      <c r="E36">
        <f>B48+B50</f>
        <v>3.2777299999999995E-2</v>
      </c>
      <c r="F36" t="s">
        <v>123</v>
      </c>
      <c r="G36" t="s">
        <v>47</v>
      </c>
    </row>
    <row r="37" spans="1:8">
      <c r="A37" t="s">
        <v>34</v>
      </c>
      <c r="B37">
        <v>3.5009100000000001E-2</v>
      </c>
      <c r="D37" t="s">
        <v>83</v>
      </c>
      <c r="E37">
        <f>B49</f>
        <v>3.5695900000000001E-3</v>
      </c>
      <c r="F37" t="s">
        <v>125</v>
      </c>
    </row>
    <row r="38" spans="1:8">
      <c r="A38" t="s">
        <v>35</v>
      </c>
      <c r="B38">
        <v>2.1783799999999999E-2</v>
      </c>
      <c r="D38" t="s">
        <v>84</v>
      </c>
      <c r="E38">
        <f>B45+B46</f>
        <v>3.0703500000000002E-2</v>
      </c>
      <c r="F38" t="s">
        <v>126</v>
      </c>
      <c r="G38" t="s">
        <v>43</v>
      </c>
    </row>
    <row r="39" spans="1:8">
      <c r="A39" t="s">
        <v>36</v>
      </c>
      <c r="B39">
        <v>1.6096699999999999E-2</v>
      </c>
      <c r="D39" t="s">
        <v>85</v>
      </c>
      <c r="E39">
        <f>B47</f>
        <v>1.3973899999999999E-2</v>
      </c>
      <c r="F39" t="s">
        <v>127</v>
      </c>
    </row>
    <row r="40" spans="1:8">
      <c r="A40" t="s">
        <v>37</v>
      </c>
      <c r="B40">
        <v>1.8218999999999999E-2</v>
      </c>
      <c r="D40" t="s">
        <v>130</v>
      </c>
      <c r="E40">
        <f>B57+B55</f>
        <v>3.1968300000000005E-2</v>
      </c>
      <c r="F40" t="s">
        <v>128</v>
      </c>
      <c r="G40" t="s">
        <v>129</v>
      </c>
    </row>
    <row r="41" spans="1:8">
      <c r="A41" t="s">
        <v>38</v>
      </c>
      <c r="B41">
        <v>1.8824899999999999E-2</v>
      </c>
      <c r="D41" t="s">
        <v>131</v>
      </c>
      <c r="E41">
        <f>B56</f>
        <v>4.9807300000000001E-3</v>
      </c>
      <c r="F41" t="s">
        <v>53</v>
      </c>
    </row>
    <row r="42" spans="1:8">
      <c r="A42" t="s">
        <v>39</v>
      </c>
      <c r="B42">
        <v>1.6382000000000001E-2</v>
      </c>
      <c r="D42" t="s">
        <v>86</v>
      </c>
      <c r="E42">
        <f>B54</f>
        <v>1.7505E-2</v>
      </c>
      <c r="F42" t="s">
        <v>51</v>
      </c>
    </row>
    <row r="43" spans="1:8">
      <c r="A43" t="s">
        <v>40</v>
      </c>
      <c r="B43">
        <v>5.1137200000000004E-3</v>
      </c>
      <c r="D43" t="s">
        <v>133</v>
      </c>
      <c r="E43">
        <f>B58</f>
        <v>9.6309499999999992E-3</v>
      </c>
      <c r="F43" t="s">
        <v>132</v>
      </c>
    </row>
    <row r="44" spans="1:8">
      <c r="A44" t="s">
        <v>41</v>
      </c>
      <c r="B44">
        <v>1.8840800000000001E-2</v>
      </c>
      <c r="D44" t="s">
        <v>135</v>
      </c>
      <c r="E44">
        <f>B60</f>
        <v>1.31115E-2</v>
      </c>
      <c r="F44" t="s">
        <v>134</v>
      </c>
    </row>
    <row r="45" spans="1:8">
      <c r="A45" t="s">
        <v>42</v>
      </c>
      <c r="B45">
        <v>1.6817200000000001E-2</v>
      </c>
      <c r="D45" t="s">
        <v>136</v>
      </c>
      <c r="E45">
        <f>B59</f>
        <v>1.2906600000000001E-2</v>
      </c>
      <c r="F45" t="s">
        <v>56</v>
      </c>
    </row>
    <row r="46" spans="1:8">
      <c r="A46" t="s">
        <v>43</v>
      </c>
      <c r="B46">
        <v>1.3886300000000001E-2</v>
      </c>
      <c r="D46" t="s">
        <v>138</v>
      </c>
      <c r="E46">
        <f>B64+B62</f>
        <v>2.6324899999999998E-2</v>
      </c>
      <c r="F46" t="s">
        <v>137</v>
      </c>
      <c r="G46" t="s">
        <v>61</v>
      </c>
    </row>
    <row r="47" spans="1:8">
      <c r="A47" t="s">
        <v>44</v>
      </c>
      <c r="B47">
        <v>1.3973899999999999E-2</v>
      </c>
      <c r="D47" t="s">
        <v>87</v>
      </c>
      <c r="E47">
        <f>B63</f>
        <v>2.4041300000000002E-2</v>
      </c>
      <c r="F47" t="s">
        <v>139</v>
      </c>
    </row>
    <row r="48" spans="1:8">
      <c r="A48" t="s">
        <v>45</v>
      </c>
      <c r="B48">
        <v>1.52306E-2</v>
      </c>
      <c r="D48" t="s">
        <v>88</v>
      </c>
      <c r="E48">
        <f>B61</f>
        <v>9.30396E-3</v>
      </c>
      <c r="F48" t="s">
        <v>58</v>
      </c>
    </row>
    <row r="49" spans="1:2">
      <c r="A49" t="s">
        <v>46</v>
      </c>
      <c r="B49">
        <v>3.5695900000000001E-3</v>
      </c>
    </row>
    <row r="50" spans="1:2">
      <c r="A50" t="s">
        <v>47</v>
      </c>
      <c r="B50">
        <v>1.7546699999999998E-2</v>
      </c>
    </row>
    <row r="51" spans="1:2">
      <c r="A51" t="s">
        <v>48</v>
      </c>
      <c r="B51">
        <v>5.1060099999999996E-4</v>
      </c>
    </row>
    <row r="52" spans="1:2">
      <c r="A52" t="s">
        <v>49</v>
      </c>
      <c r="B52">
        <v>2.6779800000000003E-4</v>
      </c>
    </row>
    <row r="53" spans="1:2">
      <c r="A53" t="s">
        <v>50</v>
      </c>
      <c r="B53">
        <v>1.2647400000000001E-3</v>
      </c>
    </row>
    <row r="54" spans="1:2">
      <c r="A54" t="s">
        <v>51</v>
      </c>
      <c r="B54">
        <v>1.7505E-2</v>
      </c>
    </row>
    <row r="55" spans="1:2">
      <c r="A55" t="s">
        <v>52</v>
      </c>
      <c r="B55">
        <v>1.6723700000000001E-2</v>
      </c>
    </row>
    <row r="56" spans="1:2">
      <c r="A56" t="s">
        <v>53</v>
      </c>
      <c r="B56">
        <v>4.9807300000000001E-3</v>
      </c>
    </row>
    <row r="57" spans="1:2">
      <c r="A57" t="s">
        <v>54</v>
      </c>
      <c r="B57">
        <v>1.5244600000000001E-2</v>
      </c>
    </row>
    <row r="58" spans="1:2">
      <c r="A58" t="s">
        <v>55</v>
      </c>
      <c r="B58">
        <v>9.6309499999999992E-3</v>
      </c>
    </row>
    <row r="59" spans="1:2">
      <c r="A59" t="s">
        <v>56</v>
      </c>
      <c r="B59">
        <v>1.2906600000000001E-2</v>
      </c>
    </row>
    <row r="60" spans="1:2">
      <c r="A60" t="s">
        <v>57</v>
      </c>
      <c r="B60">
        <v>1.31115E-2</v>
      </c>
    </row>
    <row r="61" spans="1:2">
      <c r="A61" t="s">
        <v>58</v>
      </c>
      <c r="B61">
        <v>9.30396E-3</v>
      </c>
    </row>
    <row r="62" spans="1:2">
      <c r="A62" t="s">
        <v>59</v>
      </c>
      <c r="B62">
        <v>1.2573000000000001E-2</v>
      </c>
    </row>
    <row r="63" spans="1:2">
      <c r="A63" t="s">
        <v>60</v>
      </c>
      <c r="B63">
        <v>2.4041300000000002E-2</v>
      </c>
    </row>
    <row r="64" spans="1:2">
      <c r="A64" t="s">
        <v>61</v>
      </c>
      <c r="B64">
        <v>1.3751899999999999E-2</v>
      </c>
    </row>
  </sheetData>
  <phoneticPr fontId="18" type="noConversion"/>
  <pageMargins left="0.7" right="0.7" top="0.75" bottom="0.75" header="0.3" footer="0.3"/>
  <ignoredErrors>
    <ignoredError sqref="E13 E4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A549_bulkrnaseq_codons_propotio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jing.jiang</cp:lastModifiedBy>
  <dcterms:created xsi:type="dcterms:W3CDTF">2024-08-01T06:53:48Z</dcterms:created>
  <dcterms:modified xsi:type="dcterms:W3CDTF">2024-08-05T05:34:27Z</dcterms:modified>
</cp:coreProperties>
</file>