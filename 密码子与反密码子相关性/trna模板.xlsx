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ck\mrna_trna_readcount\"/>
    </mc:Choice>
  </mc:AlternateContent>
  <xr:revisionPtr revIDLastSave="0" documentId="13_ncr:1_{1652A98D-2E6D-4936-BDDA-735D13580007}" xr6:coauthVersionLast="47" xr6:coauthVersionMax="47" xr10:uidLastSave="{00000000-0000-0000-0000-000000000000}"/>
  <bookViews>
    <workbookView xWindow="-108" yWindow="-108" windowWidth="30936" windowHeight="17040" activeTab="1" xr2:uid="{83B79EEC-AD21-4001-8840-448BBBB1A031}"/>
  </bookViews>
  <sheets>
    <sheet name="A549_ctr_trna_nanopore_readcou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0" i="2" l="1"/>
  <c r="C258" i="2"/>
  <c r="C254" i="2"/>
  <c r="C248" i="2"/>
  <c r="C242" i="2"/>
  <c r="C233" i="2"/>
  <c r="C232" i="2"/>
  <c r="C227" i="2"/>
  <c r="C221" i="2"/>
  <c r="C216" i="2"/>
  <c r="C210" i="2"/>
  <c r="C206" i="2"/>
  <c r="C200" i="2"/>
  <c r="C196" i="2"/>
  <c r="C192" i="2"/>
  <c r="C191" i="2"/>
  <c r="C188" i="2"/>
  <c r="C186" i="2"/>
  <c r="C184" i="2"/>
  <c r="C179" i="2"/>
  <c r="C172" i="2"/>
  <c r="C164" i="2"/>
  <c r="C154" i="2"/>
  <c r="C151" i="2"/>
  <c r="C147" i="2"/>
  <c r="C145" i="2"/>
  <c r="C139" i="2"/>
  <c r="C135" i="2"/>
  <c r="C132" i="2"/>
  <c r="C131" i="2"/>
  <c r="C121" i="2"/>
  <c r="C120" i="2"/>
  <c r="C116" i="2"/>
  <c r="C111" i="2"/>
  <c r="C108" i="2"/>
  <c r="C103" i="2"/>
  <c r="C101" i="2"/>
  <c r="C97" i="2"/>
  <c r="C90" i="2"/>
  <c r="C67" i="2"/>
  <c r="C64" i="2"/>
  <c r="C47" i="2"/>
  <c r="C42" i="2"/>
  <c r="C36" i="2"/>
  <c r="C31" i="2"/>
  <c r="C29" i="2"/>
  <c r="C27" i="2"/>
  <c r="C20" i="2"/>
  <c r="C16" i="2"/>
  <c r="C260" i="1"/>
  <c r="C258" i="1"/>
  <c r="C254" i="1"/>
  <c r="C248" i="1"/>
  <c r="C242" i="1"/>
  <c r="C233" i="1"/>
  <c r="C232" i="1"/>
  <c r="C227" i="1"/>
  <c r="C221" i="1"/>
  <c r="C216" i="1"/>
  <c r="C210" i="1"/>
  <c r="C206" i="1"/>
  <c r="C200" i="1"/>
  <c r="C196" i="1"/>
  <c r="C192" i="1"/>
  <c r="C191" i="1"/>
  <c r="C188" i="1"/>
  <c r="C186" i="1"/>
  <c r="C184" i="1"/>
  <c r="C179" i="1"/>
  <c r="C172" i="1"/>
  <c r="C164" i="1"/>
  <c r="C154" i="1"/>
  <c r="C151" i="1"/>
  <c r="C147" i="1"/>
  <c r="C145" i="1"/>
  <c r="C139" i="1"/>
  <c r="C135" i="1"/>
  <c r="C132" i="1"/>
  <c r="C131" i="1"/>
  <c r="C121" i="1"/>
  <c r="C120" i="1"/>
  <c r="C116" i="1"/>
  <c r="C111" i="1"/>
  <c r="C108" i="1"/>
  <c r="C103" i="1"/>
  <c r="C101" i="1"/>
  <c r="C97" i="1"/>
  <c r="C90" i="1"/>
  <c r="C67" i="1"/>
  <c r="C64" i="1"/>
  <c r="C47" i="1"/>
  <c r="C42" i="1"/>
  <c r="C36" i="1"/>
  <c r="C31" i="1"/>
  <c r="C29" i="1"/>
  <c r="C27" i="1"/>
  <c r="C20" i="1"/>
  <c r="C16" i="1"/>
</calcChain>
</file>

<file path=xl/sharedStrings.xml><?xml version="1.0" encoding="utf-8"?>
<sst xmlns="http://schemas.openxmlformats.org/spreadsheetml/2006/main" count="883" uniqueCount="581">
  <si>
    <t>Homo_sapiens_tRNA-Ala-GCU-1-1</t>
  </si>
  <si>
    <t>Homo_sapiens_tRNA-Ala-GCU-10-1</t>
  </si>
  <si>
    <t>Homo_sapiens_tRNA-Ala-GCU-11-1</t>
  </si>
  <si>
    <t>Homo_sapiens_tRNA-Ala-GCU-12-1</t>
  </si>
  <si>
    <t>Homo_sapiens_tRNA-Ala-GCU-13-1</t>
  </si>
  <si>
    <t>Homo_sapiens_tRNA-Ala-GCU-14-1</t>
  </si>
  <si>
    <t>Homo_sapiens_tRNA-Ala-GCU-15-1</t>
  </si>
  <si>
    <t>Homo_sapiens_tRNA-Ala-GCU-16-1</t>
  </si>
  <si>
    <t>Homo_sapiens_tRNA-Ala-GCU-2-1</t>
  </si>
  <si>
    <t>Homo_sapiens_tRNA-Ala-GCU-24-1</t>
  </si>
  <si>
    <t>Homo_sapiens_tRNA-Ala-GCU-3-1</t>
  </si>
  <si>
    <t>Homo_sapiens_tRNA-Ala-GCU-4-1</t>
  </si>
  <si>
    <t>Homo_sapiens_tRNA-Ala-GCU-5-1</t>
  </si>
  <si>
    <t>Homo_sapiens_tRNA-Ala-GCU-6-1</t>
  </si>
  <si>
    <t>Homo_sapiens_tRNA-Ala-GCU-8-1</t>
  </si>
  <si>
    <t>Homo_sapiens_tRNA-Ala-GCU-9-1</t>
  </si>
  <si>
    <t>Homo_sapiens_tRNA-Ala-GCG-1-1</t>
  </si>
  <si>
    <t>Homo_sapiens_tRNA-Ala-GCG-2-1</t>
  </si>
  <si>
    <t>Homo_sapiens_tRNA-Ala-GCG-3-1</t>
  </si>
  <si>
    <t>Homo_sapiens_tRNA-Ala-GCG-4-1</t>
  </si>
  <si>
    <t>Homo_sapiens_tRNA-Ala-GCA-1-1</t>
  </si>
  <si>
    <t>Homo_sapiens_tRNA-Ala-GCA-2-1</t>
  </si>
  <si>
    <t>Homo_sapiens_tRNA-Ala-GCA-3-1</t>
  </si>
  <si>
    <t>Homo_sapiens_tRNA-Ala-GCA-4-1</t>
  </si>
  <si>
    <t>Homo_sapiens_tRNA-Ala-GCA-5-1</t>
  </si>
  <si>
    <t>Homo_sapiens_tRNA-Ala-GCA-6-1</t>
  </si>
  <si>
    <t>Homo_sapiens_tRNA-Ala-GCA-7-1</t>
  </si>
  <si>
    <t>Homo_sapiens_tRNA-Arg-CGU-1-1</t>
  </si>
  <si>
    <t>Homo_sapiens_tRNA-Arg-CGU-2-1</t>
  </si>
  <si>
    <t>Homo_sapiens_tRNA-Arg-CGG-1-1</t>
  </si>
  <si>
    <t>Homo_sapiens_tRNA-Arg-CGG-2-1</t>
  </si>
  <si>
    <t>Homo_sapiens_tRNA-Arg-AGG-1-1</t>
  </si>
  <si>
    <t>Homo_sapiens_tRNA-Arg-AGG-2-1</t>
  </si>
  <si>
    <t>Homo_sapiens_tRNA-Arg-AGG-3-1</t>
  </si>
  <si>
    <t>Homo_sapiens_tRNA-Arg-AGG-4-1</t>
  </si>
  <si>
    <t>Homo_sapiens_tRNA-Arg-AGG-5-1</t>
  </si>
  <si>
    <t>Homo_sapiens_tRNA-Arg-CGA-1-1</t>
  </si>
  <si>
    <t>Homo_sapiens_tRNA-Arg-CGA-2-1</t>
  </si>
  <si>
    <t>Homo_sapiens_tRNA-Arg-CGA-3-1</t>
  </si>
  <si>
    <t>Homo_sapiens_tRNA-Arg-CGA-4-1</t>
  </si>
  <si>
    <t>Homo_sapiens_tRNA-Arg-CGA-5-1</t>
  </si>
  <si>
    <t>Homo_sapiens_tRNA-Arg-CGA-6-1</t>
  </si>
  <si>
    <t>Homo_sapiens_tRNA-Arg-AGA-1-1</t>
  </si>
  <si>
    <t>Homo_sapiens_tRNA-Arg-AGA-2-1</t>
  </si>
  <si>
    <t>Homo_sapiens_tRNA-Arg-AGA-3-1</t>
  </si>
  <si>
    <t>Homo_sapiens_tRNA-Arg-AGA-4-1</t>
  </si>
  <si>
    <t>Homo_sapiens_tRNA-Arg-AGA-5-1</t>
  </si>
  <si>
    <t>Homo_sapiens_tRNA-Asn-AAC-1-1</t>
  </si>
  <si>
    <t>Homo_sapiens_tRNA-Asn-AAC-10-1</t>
  </si>
  <si>
    <t>Homo_sapiens_tRNA-Asn-AAC-11-1</t>
  </si>
  <si>
    <t>Homo_sapiens_tRNA-Asn-AAC-12-1</t>
  </si>
  <si>
    <t>Homo_sapiens_tRNA-Asn-AAC-2-1</t>
  </si>
  <si>
    <t>Homo_sapiens_tRNA-Asn-AAC-24-1</t>
  </si>
  <si>
    <t>Homo_sapiens_tRNA-Asn-AAC-25-1</t>
  </si>
  <si>
    <t>Homo_sapiens_tRNA-Asn-AAC-26-1</t>
  </si>
  <si>
    <t>Homo_sapiens_tRNA-Asn-AAC-27-1</t>
  </si>
  <si>
    <t>Homo_sapiens_tRNA-Asn-AAC-3-1</t>
  </si>
  <si>
    <t>Homo_sapiens_tRNA-Asn-AAC-4-1</t>
  </si>
  <si>
    <t>Homo_sapiens_tRNA-Asn-AAC-5-1</t>
  </si>
  <si>
    <t>Homo_sapiens_tRNA-Asn-AAC-6-1</t>
  </si>
  <si>
    <t>Homo_sapiens_tRNA-Asn-AAC-7-1</t>
  </si>
  <si>
    <t>Homo_sapiens_tRNA-Asn-AAC-8-1</t>
  </si>
  <si>
    <t>Homo_sapiens_tRNA-Asn-AAC-9-1</t>
  </si>
  <si>
    <t>Homo_sapiens_tRNA-Asn-AAC-9-2</t>
  </si>
  <si>
    <t>Homo_sapiens_tRNA-Asp-GAC-1-1</t>
  </si>
  <si>
    <t>Homo_sapiens_tRNA-Asp-GAC-2-1</t>
  </si>
  <si>
    <t>Homo_sapiens_tRNA-Asp-GAC-3-1</t>
  </si>
  <si>
    <t>Homo_sapiens_tRNA-Cys-UGC-1-1</t>
  </si>
  <si>
    <t>Homo_sapiens_tRNA-Cys-UGC-10-1</t>
  </si>
  <si>
    <t>Homo_sapiens_tRNA-Cys-UGC-11-1</t>
  </si>
  <si>
    <t>Homo_sapiens_tRNA-Cys-UGC-12-1</t>
  </si>
  <si>
    <t>Homo_sapiens_tRNA-Cys-UGC-13-1</t>
  </si>
  <si>
    <t>Homo_sapiens_tRNA-Cys-UGC-14-1</t>
  </si>
  <si>
    <t>Homo_sapiens_tRNA-Cys-UGC-15-1</t>
  </si>
  <si>
    <t>Homo_sapiens_tRNA-Cys-UGC-16-1</t>
  </si>
  <si>
    <t>Homo_sapiens_tRNA-Cys-UGC-17-1</t>
  </si>
  <si>
    <t>Homo_sapiens_tRNA-Cys-UGC-18-1</t>
  </si>
  <si>
    <t>Homo_sapiens_tRNA-Cys-UGC-19-1</t>
  </si>
  <si>
    <t>Homo_sapiens_tRNA-Cys-UGC-2-1</t>
  </si>
  <si>
    <t>Homo_sapiens_tRNA-Cys-UGC-20-1</t>
  </si>
  <si>
    <t>Homo_sapiens_tRNA-Cys-UGC-21-1</t>
  </si>
  <si>
    <t>Homo_sapiens_tRNA-Cys-UGC-22-1</t>
  </si>
  <si>
    <t>Homo_sapiens_tRNA-Cys-UGC-23-1</t>
  </si>
  <si>
    <t>Homo_sapiens_tRNA-Cys-UGC-3-1</t>
  </si>
  <si>
    <t>Homo_sapiens_tRNA-Cys-UGC-4-1</t>
  </si>
  <si>
    <t>Homo_sapiens_tRNA-Cys-UGC-5-1</t>
  </si>
  <si>
    <t>Homo_sapiens_tRNA-Cys-UGC-6-1</t>
  </si>
  <si>
    <t>Homo_sapiens_tRNA-Cys-UGC-7-1</t>
  </si>
  <si>
    <t>Homo_sapiens_tRNA-Cys-UGC-8-1</t>
  </si>
  <si>
    <t>Homo_sapiens_tRNA-Cys-UGC-9-1</t>
  </si>
  <si>
    <t>Homo_sapiens_tRNA-Gln-CAG-1-1</t>
  </si>
  <si>
    <t>Homo_sapiens_tRNA-Gln-CAG-2-1</t>
  </si>
  <si>
    <t>Homo_sapiens_tRNA-Gln-CAG-3-1</t>
  </si>
  <si>
    <t>Homo_sapiens_tRNA-Gln-CAG-4-1</t>
  </si>
  <si>
    <t>Homo_sapiens_tRNA-Gln-CAG-5-1</t>
  </si>
  <si>
    <t>Homo_sapiens_tRNA-Gln-CAG-6-1</t>
  </si>
  <si>
    <t>Homo_sapiens_tRNA-Gln-CAG-7-1</t>
  </si>
  <si>
    <t>Homo_sapiens_tRNA-Gln-CAA-1-1</t>
  </si>
  <si>
    <t>Homo_sapiens_tRNA-Gln-CAA-2-1</t>
  </si>
  <si>
    <t>Homo_sapiens_tRNA-Gln-CAA-3-1</t>
  </si>
  <si>
    <t>Homo_sapiens_tRNA-Gln-CAA-4-1</t>
  </si>
  <si>
    <t>Homo_sapiens_tRNA-Glu-GAG-1-1</t>
  </si>
  <si>
    <t>Homo_sapiens_tRNA-Glu-GAG-2-1</t>
  </si>
  <si>
    <t>Homo_sapiens_tRNA-Glu-GAA-1-1</t>
  </si>
  <si>
    <t>Homo_sapiens_tRNA-Glu-GAA-14-1</t>
  </si>
  <si>
    <t>Homo_sapiens_tRNA-Glu-GAA-2-1</t>
  </si>
  <si>
    <t>Homo_sapiens_tRNA-Glu-GAA-3-1</t>
  </si>
  <si>
    <t>Homo_sapiens_tRNA-Glu-GAA-4-1</t>
  </si>
  <si>
    <t>Homo_sapiens_tRNA-Gly-GGG-1-1</t>
  </si>
  <si>
    <t>Homo_sapiens_tRNA-Gly-GGG-2-1</t>
  </si>
  <si>
    <t>Homo_sapiens_tRNA-Gly-GGG-3-1</t>
  </si>
  <si>
    <t>Homo_sapiens_tRNA-Gly-GGC-1-1</t>
  </si>
  <si>
    <t>Homo_sapiens_tRNA-Gly-GGC-2-1</t>
  </si>
  <si>
    <t>Homo_sapiens_tRNA-Gly-GGC-3-1</t>
  </si>
  <si>
    <t>Homo_sapiens_tRNA-Gly-GGC-4-1</t>
  </si>
  <si>
    <t>Homo_sapiens_tRNA-Gly-GGC-5-1</t>
  </si>
  <si>
    <t>Homo_sapiens_tRNA-Gly-GGA-1-1</t>
  </si>
  <si>
    <t>Homo_sapiens_tRNA-Gly-GGA-2-1</t>
  </si>
  <si>
    <t>Homo_sapiens_tRNA-Gly-GGA-3-1</t>
  </si>
  <si>
    <t>Homo_sapiens_tRNA-Gly-GGA-4-1</t>
  </si>
  <si>
    <t>Homo_sapiens_tRNA-His-CAC-1-1</t>
  </si>
  <si>
    <t>Homo_sapiens_tRNA-Ile-AUU-1-1</t>
  </si>
  <si>
    <t>Homo_sapiens_tRNA-Ile-AUU-12-1</t>
  </si>
  <si>
    <t>Homo_sapiens_tRNA-Ile-AUU-2-1</t>
  </si>
  <si>
    <t>Homo_sapiens_tRNA-Ile-AUU-3-1</t>
  </si>
  <si>
    <t>Homo_sapiens_tRNA-Ile-AUU-4-1</t>
  </si>
  <si>
    <t>Homo_sapiens_tRNA-Ile-AUU-5-1</t>
  </si>
  <si>
    <t>Homo_sapiens_tRNA-Ile-AUU-6-1</t>
  </si>
  <si>
    <t>Homo_sapiens_tRNA-Ile-AUU-7-1</t>
  </si>
  <si>
    <t>Homo_sapiens_tRNA-Ile-AUU-8-1</t>
  </si>
  <si>
    <t>Homo_sapiens_tRNA-Ile-AUU-9-1</t>
  </si>
  <si>
    <t>Homo_sapiens_tRNA-Ile-AUC-1-1</t>
  </si>
  <si>
    <t>Homo_sapiens_tRNA-Ile-AUA-1-1</t>
  </si>
  <si>
    <t>Homo_sapiens_tRNA-Ile-AUA-2-1</t>
  </si>
  <si>
    <t>Homo_sapiens_tRNA-Ile-AUA-3-1</t>
  </si>
  <si>
    <t>Homo_sapiens_tRNA-Leu-CUU-1-1</t>
  </si>
  <si>
    <t>Homo_sapiens_tRNA-Leu-CUU-2-1</t>
  </si>
  <si>
    <t>Homo_sapiens_tRNA-Leu-CUU-3-1</t>
  </si>
  <si>
    <t>Homo_sapiens_tRNA-Leu-CUU-4-1</t>
  </si>
  <si>
    <t>Homo_sapiens_tRNA-Leu-UUG-1-1</t>
  </si>
  <si>
    <t>Homo_sapiens_tRNA-Leu-UUG-2-1</t>
  </si>
  <si>
    <t>Homo_sapiens_tRNA-Leu-UUG-3-1</t>
  </si>
  <si>
    <t>Homo_sapiens_tRNA-Leu-UUG-4-1</t>
  </si>
  <si>
    <t>Homo_sapiens_tRNA-Leu-UUG-5-1</t>
  </si>
  <si>
    <t>Homo_sapiens_tRNA-Leu-UUG-6-1</t>
  </si>
  <si>
    <t>Homo_sapiens_tRNA-Leu-CUG-1-1</t>
  </si>
  <si>
    <t>Homo_sapiens_tRNA-Leu-CUG-2-1</t>
  </si>
  <si>
    <t>Homo_sapiens_tRNA-Leu-UUA-1-1</t>
  </si>
  <si>
    <t>Homo_sapiens_tRNA-Leu-UUA-2-1</t>
  </si>
  <si>
    <t>Homo_sapiens_tRNA-Leu-UUA-3-1</t>
  </si>
  <si>
    <t>Homo_sapiens_tRNA-Leu-UUA-4-1</t>
  </si>
  <si>
    <t>Homo_sapiens_tRNA-Leu-CUA-1-1</t>
  </si>
  <si>
    <t>Homo_sapiens_tRNA-Leu-CUA-2-1</t>
  </si>
  <si>
    <t>Homo_sapiens_tRNA-Leu-CUA-3-1</t>
  </si>
  <si>
    <t>Homo_sapiens_tRNA-Lys-AAG-1-1</t>
  </si>
  <si>
    <t>Homo_sapiens_tRNA-Lys-AAG-10-1</t>
  </si>
  <si>
    <t>Homo_sapiens_tRNA-Lys-AAG-11-1</t>
  </si>
  <si>
    <t>Homo_sapiens_tRNA-Lys-AAG-2-1</t>
  </si>
  <si>
    <t>Homo_sapiens_tRNA-Lys-AAG-3-1</t>
  </si>
  <si>
    <t>Homo_sapiens_tRNA-Lys-AAG-4-1</t>
  </si>
  <si>
    <t>Homo_sapiens_tRNA-Lys-AAG-5-1</t>
  </si>
  <si>
    <t>Homo_sapiens_tRNA-Lys-AAG-7-1</t>
  </si>
  <si>
    <t>Homo_sapiens_tRNA-Lys-AAG-8-1</t>
  </si>
  <si>
    <t>Homo_sapiens_tRNA-Lys-AAG-9-1</t>
  </si>
  <si>
    <t>Homo_sapiens_tRNA-Lys-AAA-1-1</t>
  </si>
  <si>
    <t>Homo_sapiens_tRNA-Lys-AAA-11-1</t>
  </si>
  <si>
    <t>Homo_sapiens_tRNA-Lys-AAA-2-1</t>
  </si>
  <si>
    <t>Homo_sapiens_tRNA-Lys-AAA-3-1</t>
  </si>
  <si>
    <t>Homo_sapiens_tRNA-Lys-AAA-4-1</t>
  </si>
  <si>
    <t>Homo_sapiens_tRNA-Lys-AAA-5-1</t>
  </si>
  <si>
    <t>Homo_sapiens_tRNA-Lys-AAA-6-1</t>
  </si>
  <si>
    <t>Homo_sapiens_tRNA-Lys-AAA-7-1</t>
  </si>
  <si>
    <t>Homo_sapiens_tRNA-Met-AUG-1-1</t>
  </si>
  <si>
    <t>Homo_sapiens_tRNA-Met-AUG-2-1</t>
  </si>
  <si>
    <t>Homo_sapiens_tRNA-Met-AUG-3-1</t>
  </si>
  <si>
    <t>Homo_sapiens_tRNA-Met-AUG-4-1</t>
  </si>
  <si>
    <t>Homo_sapiens_tRNA-Met-AUG-5-1</t>
  </si>
  <si>
    <t>Homo_sapiens_tRNA-Met-AUG-6-1</t>
  </si>
  <si>
    <t>Homo_sapiens_tRNA-Met-AUG-7-1</t>
  </si>
  <si>
    <t>Homo_sapiens_tRNA-Phe-UUC-1-1</t>
  </si>
  <si>
    <t>Homo_sapiens_tRNA-Phe-UUC-2-1</t>
  </si>
  <si>
    <t>Homo_sapiens_tRNA-Phe-UUC-3-1</t>
  </si>
  <si>
    <t>Homo_sapiens_tRNA-Phe-UUC-4-1</t>
  </si>
  <si>
    <t>Homo_sapiens_tRNA-Phe-UUC-6-1</t>
  </si>
  <si>
    <t>Homo_sapiens_tRNA-Pro-CCU-1-1</t>
  </si>
  <si>
    <t>Homo_sapiens_tRNA-Pro-CCU-2-1</t>
  </si>
  <si>
    <t>Homo_sapiens_tRNA-Pro-CCG-1-1</t>
  </si>
  <si>
    <t>Homo_sapiens_tRNA-Pro-CCG-2-1</t>
  </si>
  <si>
    <t>Homo_sapiens_tRNA-Pro-CCA-1-1</t>
  </si>
  <si>
    <t>Homo_sapiens_tRNA-Pro-CCA-2-1</t>
  </si>
  <si>
    <t>Homo_sapiens_tRNA-Pro-CCA-3-1</t>
  </si>
  <si>
    <t>Homo_sapiens_tRNA-SeC-UGA-1-1</t>
  </si>
  <si>
    <t>Homo_sapiens_tRNA-Ser-UCU-1-1</t>
  </si>
  <si>
    <t>Homo_sapiens_tRNA-Ser-UCU-2-1</t>
  </si>
  <si>
    <t>Homo_sapiens_tRNA-Ser-UCU-3-1</t>
  </si>
  <si>
    <t>Homo_sapiens_tRNA-Ser-UCU-4-1</t>
  </si>
  <si>
    <t>Homo_sapiens_tRNA-Ser-UCG-1-1</t>
  </si>
  <si>
    <t>Homo_sapiens_tRNA-Ser-UCG-2-1</t>
  </si>
  <si>
    <t>Homo_sapiens_tRNA-Ser-UCG-3-1</t>
  </si>
  <si>
    <t>Homo_sapiens_tRNA-Ser-UCG-4-1</t>
  </si>
  <si>
    <t>Homo_sapiens_tRNA-Ser-AGC-1-1</t>
  </si>
  <si>
    <t>Homo_sapiens_tRNA-Ser-AGC-2-1</t>
  </si>
  <si>
    <t>Homo_sapiens_tRNA-Ser-AGC-3-1</t>
  </si>
  <si>
    <t>Homo_sapiens_tRNA-Ser-AGC-4-1</t>
  </si>
  <si>
    <t>Homo_sapiens_tRNA-Ser-AGC-5-1</t>
  </si>
  <si>
    <t>Homo_sapiens_tRNA-Ser-AGC-6-1</t>
  </si>
  <si>
    <t>Homo_sapiens_tRNA-Ser-UCA-1-1</t>
  </si>
  <si>
    <t>Homo_sapiens_tRNA-Ser-UCA-2-1</t>
  </si>
  <si>
    <t>Homo_sapiens_tRNA-Ser-UCA-3-1</t>
  </si>
  <si>
    <t>Homo_sapiens_tRNA-Ser-UCA-4-1</t>
  </si>
  <si>
    <t>Homo_sapiens_tRNA-Thr-ACU-1-1</t>
  </si>
  <si>
    <t>Homo_sapiens_tRNA-Thr-ACU-2-1</t>
  </si>
  <si>
    <t>Homo_sapiens_tRNA-Thr-ACU-3-1</t>
  </si>
  <si>
    <t>Homo_sapiens_tRNA-Thr-ACU-4-1</t>
  </si>
  <si>
    <t>Homo_sapiens_tRNA-Thr-ACU-5-1</t>
  </si>
  <si>
    <t>Homo_sapiens_tRNA-Thr-ACU-6-1</t>
  </si>
  <si>
    <t>Homo_sapiens_tRNA-Thr-ACG-1-1</t>
  </si>
  <si>
    <t>Homo_sapiens_tRNA-Thr-ACG-2-1</t>
  </si>
  <si>
    <t>Homo_sapiens_tRNA-Thr-ACG-3-1</t>
  </si>
  <si>
    <t>Homo_sapiens_tRNA-Thr-ACG-4-1</t>
  </si>
  <si>
    <t>Homo_sapiens_tRNA-Thr-ACG-5-1</t>
  </si>
  <si>
    <t>Homo_sapiens_tRNA-Thr-ACA-1-1</t>
  </si>
  <si>
    <t>Homo_sapiens_tRNA-Thr-ACA-2-1</t>
  </si>
  <si>
    <t>Homo_sapiens_tRNA-Thr-ACA-3-1</t>
  </si>
  <si>
    <t>Homo_sapiens_tRNA-Thr-ACA-4-1</t>
  </si>
  <si>
    <t>Homo_sapiens_tRNA-Thr-ACA-5-1</t>
  </si>
  <si>
    <t>Homo_sapiens_tRNA-Thr-ACA-6-1</t>
  </si>
  <si>
    <t>Homo_sapiens_tRNA-Trp-UGG-1-1</t>
  </si>
  <si>
    <t>Homo_sapiens_tRNA-Trp-UGG-2-1</t>
  </si>
  <si>
    <t>Homo_sapiens_tRNA-Trp-UGG-3-1</t>
  </si>
  <si>
    <t>Homo_sapiens_tRNA-Trp-UGG-4-1</t>
  </si>
  <si>
    <t>Homo_sapiens_tRNA-Trp-UGG-5-1</t>
  </si>
  <si>
    <t>Homo_sapiens_tRNA-Tyr-UAU-1-1</t>
  </si>
  <si>
    <t>Homo_sapiens_tRNA-Tyr-UAC-1-1</t>
  </si>
  <si>
    <t>Homo_sapiens_tRNA-Tyr-UAC-2-1</t>
  </si>
  <si>
    <t>Homo_sapiens_tRNA-Tyr-UAC-3-1</t>
  </si>
  <si>
    <t>Homo_sapiens_tRNA-Tyr-UAC-4-1</t>
  </si>
  <si>
    <t>Homo_sapiens_tRNA-Tyr-UAC-5-1</t>
  </si>
  <si>
    <t>Homo_sapiens_tRNA-Tyr-UAC-6-1</t>
  </si>
  <si>
    <t>Homo_sapiens_tRNA-Tyr-UAC-7-1</t>
  </si>
  <si>
    <t>Homo_sapiens_tRNA-Tyr-UAC-8-1</t>
  </si>
  <si>
    <t>Homo_sapiens_tRNA-Tyr-UAC-9-1</t>
  </si>
  <si>
    <t>Homo_sapiens_tRNA-Val-GUU-1-1</t>
  </si>
  <si>
    <t>Homo_sapiens_tRNA-Val-GUU-2-1</t>
  </si>
  <si>
    <t>Homo_sapiens_tRNA-Val-GUU-3-1</t>
  </si>
  <si>
    <t>Homo_sapiens_tRNA-Val-GUU-4-1</t>
  </si>
  <si>
    <t>Homo_sapiens_tRNA-Val-GUU-5-1</t>
  </si>
  <si>
    <t>Homo_sapiens_tRNA-Val-GUU-6-1</t>
  </si>
  <si>
    <t>Homo_sapiens_tRNA-Val-GUG-1-1</t>
  </si>
  <si>
    <t>Homo_sapiens_tRNA-Val-GUG-14-1</t>
  </si>
  <si>
    <t>Homo_sapiens_tRNA-Val-GUG-2-1</t>
  </si>
  <si>
    <t>Homo_sapiens_tRNA-Val-GUG-3-1</t>
  </si>
  <si>
    <t>Homo_sapiens_tRNA-Val-GUG-4-1</t>
  </si>
  <si>
    <t>Homo_sapiens_tRNA-Val-GUG-6-1</t>
  </si>
  <si>
    <t>Homo_sapiens_tRNA-Val-GUA-1-1</t>
  </si>
  <si>
    <t>Homo_sapiens_tRNA-Val-GUA-2-1</t>
  </si>
  <si>
    <t>Homo_sapiens_tRNA-Val-GUA-3-1</t>
  </si>
  <si>
    <t>Homo_sapiens_tRNA-Val-GUA-4-1</t>
  </si>
  <si>
    <t>Homo_sapiens_tRNA-iMet-AUG-1-1</t>
  </si>
  <si>
    <t>Homo_sapiens_tRNA-iMet-AUG-2-1</t>
  </si>
  <si>
    <t>Homo_sapiens_tRNA-Ala-AGC-1-1</t>
  </si>
  <si>
    <t>Homo_sapiens_tRNA-Ala-AGC-10-1</t>
  </si>
  <si>
    <t>Homo_sapiens_tRNA-Ala-AGC-11-1</t>
  </si>
  <si>
    <t>Homo_sapiens_tRNA-Ala-AGC-12-1</t>
  </si>
  <si>
    <t>Homo_sapiens_tRNA-Ala-AGC-13-1</t>
  </si>
  <si>
    <t>Homo_sapiens_tRNA-Ala-AGC-14-1</t>
  </si>
  <si>
    <t>Homo_sapiens_tRNA-Ala-AGC-15-1</t>
  </si>
  <si>
    <t>Homo_sapiens_tRNA-Ala-AGC-16-1</t>
  </si>
  <si>
    <t>Homo_sapiens_tRNA-Ala-AGC-2-1</t>
  </si>
  <si>
    <t>Homo_sapiens_tRNA-Ala-AGC-24-1</t>
  </si>
  <si>
    <t>Homo_sapiens_tRNA-Ala-AGC-3-1</t>
  </si>
  <si>
    <t>Homo_sapiens_tRNA-Ala-AGC-4-1</t>
  </si>
  <si>
    <t>Homo_sapiens_tRNA-Ala-AGC-6-1</t>
  </si>
  <si>
    <t>Homo_sapiens_tRNA-Ala-AGC-8-1</t>
  </si>
  <si>
    <t>Homo_sapiens_tRNA-Ala-AGC-9-1</t>
  </si>
  <si>
    <t>Homo_sapiens_tRNA-Ala-CGC-1-1</t>
  </si>
  <si>
    <t>Homo_sapiens_tRNA-Ala-CGC-2-1</t>
  </si>
  <si>
    <t>Homo_sapiens_tRNA-Ala-CGC-3-1</t>
  </si>
  <si>
    <t>Homo_sapiens_tRNA-Ala-TGC-1-1</t>
  </si>
  <si>
    <t>Homo_sapiens_tRNA-Ala-TGC-2-1</t>
  </si>
  <si>
    <t>Homo_sapiens_tRNA-Ala-TGC-3-1</t>
  </si>
  <si>
    <t>Homo_sapiens_tRNA-Ala-TGC-4-1</t>
  </si>
  <si>
    <t>Homo_sapiens_tRNA-Ala-TGC-5-1</t>
  </si>
  <si>
    <t>Homo_sapiens_tRNA-Ala-TGC-6-1</t>
  </si>
  <si>
    <t>Homo_sapiens_tRNA-Arg-ACG-1-1</t>
  </si>
  <si>
    <t>Homo_sapiens_tRNA-Arg-CCG-1-1</t>
  </si>
  <si>
    <t>Homo_sapiens_tRNA-Arg-CCT-1-1</t>
  </si>
  <si>
    <t>Homo_sapiens_tRNA-Arg-CCT-2-1</t>
  </si>
  <si>
    <t>Homo_sapiens_tRNA-Arg-CCT-3-1</t>
  </si>
  <si>
    <t>Homo_sapiens_tRNA-Arg-CCT-4-1</t>
  </si>
  <si>
    <t>Homo_sapiens_tRNA-Arg-CCT-5-1</t>
  </si>
  <si>
    <t>Homo_sapiens_tRNA-Arg-TCG-1-1</t>
  </si>
  <si>
    <t>Homo_sapiens_tRNA-Arg-TCG-2-1</t>
  </si>
  <si>
    <t>Homo_sapiens_tRNA-Arg-TCG-3-1</t>
  </si>
  <si>
    <t>Homo_sapiens_tRNA-Arg-TCG-4-1</t>
  </si>
  <si>
    <t>Homo_sapiens_tRNA-Arg-TCG-5-1</t>
  </si>
  <si>
    <t>Homo_sapiens_tRNA-Arg-TCG-6-1</t>
  </si>
  <si>
    <t>Homo_sapiens_tRNA-Arg-TCT-1-1</t>
  </si>
  <si>
    <t>Homo_sapiens_tRNA-Arg-TCT-2-1</t>
  </si>
  <si>
    <t>Homo_sapiens_tRNA-Arg-TCT-3-1</t>
  </si>
  <si>
    <t>Homo_sapiens_tRNA-Arg-TCT-4-1</t>
  </si>
  <si>
    <t>Homo_sapiens_tRNA-Arg-TCT-5-1</t>
  </si>
  <si>
    <t>Homo_sapiens_tRNA-Asn-GTT-1-1</t>
  </si>
  <si>
    <t>Homo_sapiens_tRNA-Asn-GTT-10-1</t>
  </si>
  <si>
    <t>Homo_sapiens_tRNA-Asn-GTT-11-1</t>
  </si>
  <si>
    <t>Homo_sapiens_tRNA-Asn-GTT-12-1</t>
  </si>
  <si>
    <t>Homo_sapiens_tRNA-Asn-GTT-2-1</t>
  </si>
  <si>
    <t>Homo_sapiens_tRNA-Asn-GTT-24-1</t>
  </si>
  <si>
    <t>Homo_sapiens_tRNA-Asn-GTT-25-1</t>
  </si>
  <si>
    <t>Homo_sapiens_tRNA-Asn-GTT-26-1</t>
  </si>
  <si>
    <t>Homo_sapiens_tRNA-Asn-GTT-27-1</t>
  </si>
  <si>
    <t>Homo_sapiens_tRNA-Asn-GTT-3-1</t>
  </si>
  <si>
    <t>Homo_sapiens_tRNA-Asn-GTT-4-1</t>
  </si>
  <si>
    <t>Homo_sapiens_tRNA-Asn-GTT-5-1</t>
  </si>
  <si>
    <t>Homo_sapiens_tRNA-Asn-GTT-6-1</t>
  </si>
  <si>
    <t>Homo_sapiens_tRNA-Asn-GTT-7-1</t>
  </si>
  <si>
    <t>Homo_sapiens_tRNA-Asn-GTT-8-1</t>
  </si>
  <si>
    <t>Homo_sapiens_tRNA-Asn-GTT-9-1</t>
  </si>
  <si>
    <t>Homo_sapiens_tRNA-Asn-GTT-9-2</t>
  </si>
  <si>
    <t>Homo_sapiens_tRNA-Asp-GTC-1-1</t>
  </si>
  <si>
    <t>Homo_sapiens_tRNA-Asp-GTC-2-1</t>
  </si>
  <si>
    <t>Homo_sapiens_tRNA-Asp-GTC-3-1</t>
  </si>
  <si>
    <t>Homo_sapiens_tRNA-Cys-GCA-1-1</t>
  </si>
  <si>
    <t>Homo_sapiens_tRNA-Cys-GCA-10-1</t>
  </si>
  <si>
    <t>Homo_sapiens_tRNA-Cys-GCA-11-1</t>
  </si>
  <si>
    <t>Homo_sapiens_tRNA-Cys-GCA-12-1</t>
  </si>
  <si>
    <t>Homo_sapiens_tRNA-Cys-GCA-13-1</t>
  </si>
  <si>
    <t>Homo_sapiens_tRNA-Cys-GCA-14-1</t>
  </si>
  <si>
    <t>Homo_sapiens_tRNA-Cys-GCA-15-1</t>
  </si>
  <si>
    <t>Homo_sapiens_tRNA-Cys-GCA-16-1</t>
  </si>
  <si>
    <t>Homo_sapiens_tRNA-Cys-GCA-17-1</t>
  </si>
  <si>
    <t>Homo_sapiens_tRNA-Cys-GCA-18-1</t>
  </si>
  <si>
    <t>Homo_sapiens_tRNA-Cys-GCA-19-1</t>
  </si>
  <si>
    <t>Homo_sapiens_tRNA-Cys-GCA-2-1</t>
  </si>
  <si>
    <t>Homo_sapiens_tRNA-Cys-GCA-20-1</t>
  </si>
  <si>
    <t>Homo_sapiens_tRNA-Cys-GCA-21-1</t>
  </si>
  <si>
    <t>Homo_sapiens_tRNA-Cys-GCA-22-1</t>
  </si>
  <si>
    <t>Homo_sapiens_tRNA-Cys-GCA-23-1</t>
  </si>
  <si>
    <t>Homo_sapiens_tRNA-Cys-GCA-3-1</t>
  </si>
  <si>
    <t>Homo_sapiens_tRNA-Cys-GCA-4-1</t>
  </si>
  <si>
    <t>Homo_sapiens_tRNA-Cys-GCA-5-1</t>
  </si>
  <si>
    <t>Homo_sapiens_tRNA-Cys-GCA-6-1</t>
  </si>
  <si>
    <t>Homo_sapiens_tRNA-Cys-GCA-7-1</t>
  </si>
  <si>
    <t>Homo_sapiens_tRNA-Cys-GCA-8-1</t>
  </si>
  <si>
    <t>Homo_sapiens_tRNA-Cys-GCA-9-1</t>
  </si>
  <si>
    <t>Homo_sapiens_tRNA-Gln-CTG-1-1</t>
  </si>
  <si>
    <t>Homo_sapiens_tRNA-Gln-CTG-2-1</t>
  </si>
  <si>
    <t>Homo_sapiens_tRNA-Gln-CTG-3-1</t>
  </si>
  <si>
    <t>Homo_sapiens_tRNA-Gln-CTG-4-1</t>
  </si>
  <si>
    <t>Homo_sapiens_tRNA-Gln-CTG-5-1</t>
  </si>
  <si>
    <t>Homo_sapiens_tRNA-Gln-CTG-6-1</t>
  </si>
  <si>
    <t>Homo_sapiens_tRNA-Gln-CTG-7-1</t>
  </si>
  <si>
    <t>Homo_sapiens_tRNA-Gln-TTG-1-1</t>
  </si>
  <si>
    <t>Homo_sapiens_tRNA-Gln-TTG-2-1</t>
  </si>
  <si>
    <t>Homo_sapiens_tRNA-Gln-TTG-3-1</t>
  </si>
  <si>
    <t>Homo_sapiens_tRNA-Gln-TTG-4-1</t>
  </si>
  <si>
    <t>Homo_sapiens_tRNA-Glu-CTC-1-1</t>
  </si>
  <si>
    <t>Homo_sapiens_tRNA-Glu-CTC-2-1</t>
  </si>
  <si>
    <t>Homo_sapiens_tRNA-Glu-TTC-1-1</t>
  </si>
  <si>
    <t>Homo_sapiens_tRNA-Glu-TTC-14-1</t>
  </si>
  <si>
    <t>Homo_sapiens_tRNA-Glu-TTC-2-1</t>
  </si>
  <si>
    <t>Homo_sapiens_tRNA-Glu-TTC-3-1</t>
  </si>
  <si>
    <t>Homo_sapiens_tRNA-Glu-TTC-4-1</t>
  </si>
  <si>
    <t>Homo_sapiens_tRNA-Gly-CCC-1-1</t>
  </si>
  <si>
    <t>Homo_sapiens_tRNA-Gly-CCC-2-1</t>
  </si>
  <si>
    <t>Homo_sapiens_tRNA-Gly-CCC-3-1</t>
  </si>
  <si>
    <t>Homo_sapiens_tRNA-Gly-GCC-1-1</t>
  </si>
  <si>
    <t>Homo_sapiens_tRNA-Gly-GCC-2-1</t>
  </si>
  <si>
    <t>Homo_sapiens_tRNA-Gly-GCC-3-1</t>
  </si>
  <si>
    <t>Homo_sapiens_tRNA-Gly-GCC-4-1</t>
  </si>
  <si>
    <t>Homo_sapiens_tRNA-Gly-GCC-5-1</t>
  </si>
  <si>
    <t>Homo_sapiens_tRNA-Gly-TCC-1-1</t>
  </si>
  <si>
    <t>Homo_sapiens_tRNA-Gly-TCC-2-1</t>
  </si>
  <si>
    <t>Homo_sapiens_tRNA-Gly-TCC-3-1</t>
  </si>
  <si>
    <t>Homo_sapiens_tRNA-Gly-TCC-4-1</t>
  </si>
  <si>
    <t>Homo_sapiens_tRNA-His-GTG-1-1</t>
  </si>
  <si>
    <t>Homo_sapiens_tRNA-Ile-AAT-1-1</t>
  </si>
  <si>
    <t>Homo_sapiens_tRNA-Ile-AAT-12-1</t>
  </si>
  <si>
    <t>Homo_sapiens_tRNA-Ile-AAT-2-1</t>
  </si>
  <si>
    <t>Homo_sapiens_tRNA-Ile-AAT-3-1</t>
  </si>
  <si>
    <t>Homo_sapiens_tRNA-Ile-AAT-4-1</t>
  </si>
  <si>
    <t>Homo_sapiens_tRNA-Ile-AAT-5-1</t>
  </si>
  <si>
    <t>Homo_sapiens_tRNA-Ile-AAT-6-1</t>
  </si>
  <si>
    <t>Homo_sapiens_tRNA-Ile-AAT-7-1</t>
  </si>
  <si>
    <t>Homo_sapiens_tRNA-Ile-AAT-8-1</t>
  </si>
  <si>
    <t>Homo_sapiens_tRNA-Ile-AAT-9-1</t>
  </si>
  <si>
    <t>Homo_sapiens_tRNA-Ile-GAT-1-1</t>
  </si>
  <si>
    <t>Homo_sapiens_tRNA-Ile-TAT-1-1</t>
  </si>
  <si>
    <t>Homo_sapiens_tRNA-Ile-TAT-2-1</t>
  </si>
  <si>
    <t>Homo_sapiens_tRNA-Ile-TAT-3-1</t>
  </si>
  <si>
    <t>Homo_sapiens_tRNA-Leu-AAG-1-1</t>
  </si>
  <si>
    <t>Homo_sapiens_tRNA-Leu-AAG-2-1</t>
  </si>
  <si>
    <t>Homo_sapiens_tRNA-Leu-AAG-3-1</t>
  </si>
  <si>
    <t>Homo_sapiens_tRNA-Leu-AAG-4-1</t>
  </si>
  <si>
    <t>Homo_sapiens_tRNA-Leu-CAA-1-1</t>
  </si>
  <si>
    <t>Homo_sapiens_tRNA-Leu-CAA-2-1</t>
  </si>
  <si>
    <t>Homo_sapiens_tRNA-Leu-CAA-3-1</t>
  </si>
  <si>
    <t>Homo_sapiens_tRNA-Leu-CAA-4-1</t>
  </si>
  <si>
    <t>Homo_sapiens_tRNA-Leu-CAA-5-1</t>
  </si>
  <si>
    <t>Homo_sapiens_tRNA-Leu-CAA-6-1</t>
  </si>
  <si>
    <t>Homo_sapiens_tRNA-Leu-CAG-1-1</t>
  </si>
  <si>
    <t>Homo_sapiens_tRNA-Leu-CAG-2-1</t>
  </si>
  <si>
    <t>Homo_sapiens_tRNA-Leu-TAA-1-1</t>
  </si>
  <si>
    <t>Homo_sapiens_tRNA-Leu-TAA-2-1</t>
  </si>
  <si>
    <t>Homo_sapiens_tRNA-Leu-TAA-3-1</t>
  </si>
  <si>
    <t>Homo_sapiens_tRNA-Leu-TAA-4-1</t>
  </si>
  <si>
    <t>Homo_sapiens_tRNA-Leu-TAG-1-1</t>
  </si>
  <si>
    <t>Homo_sapiens_tRNA-Leu-TAG-2-1</t>
  </si>
  <si>
    <t>Homo_sapiens_tRNA-Leu-TAG-3-1</t>
  </si>
  <si>
    <t>Homo_sapiens_tRNA-Lys-CTT-1-1</t>
  </si>
  <si>
    <t>Homo_sapiens_tRNA-Lys-CTT-10-1</t>
  </si>
  <si>
    <t>Homo_sapiens_tRNA-Lys-CTT-11-1</t>
  </si>
  <si>
    <t>Homo_sapiens_tRNA-Lys-CTT-2-1</t>
  </si>
  <si>
    <t>Homo_sapiens_tRNA-Lys-CTT-3-1</t>
  </si>
  <si>
    <t>Homo_sapiens_tRNA-Lys-CTT-4-1</t>
  </si>
  <si>
    <t>Homo_sapiens_tRNA-Lys-CTT-5-1</t>
  </si>
  <si>
    <t>Homo_sapiens_tRNA-Lys-CTT-7-1</t>
  </si>
  <si>
    <t>Homo_sapiens_tRNA-Lys-CTT-8-1</t>
  </si>
  <si>
    <t>Homo_sapiens_tRNA-Lys-CTT-9-1</t>
  </si>
  <si>
    <t>Homo_sapiens_tRNA-Lys-TTT-1-1</t>
  </si>
  <si>
    <t>Homo_sapiens_tRNA-Lys-TTT-11-1</t>
  </si>
  <si>
    <t>Homo_sapiens_tRNA-Lys-TTT-2-1</t>
  </si>
  <si>
    <t>Homo_sapiens_tRNA-Lys-TTT-3-1</t>
  </si>
  <si>
    <t>Homo_sapiens_tRNA-Lys-TTT-4-1</t>
  </si>
  <si>
    <t>Homo_sapiens_tRNA-Lys-TTT-5-1</t>
  </si>
  <si>
    <t>Homo_sapiens_tRNA-Lys-TTT-6-1</t>
  </si>
  <si>
    <t>Homo_sapiens_tRNA-Lys-TTT-7-1</t>
  </si>
  <si>
    <t>Homo_sapiens_tRNA-Met-CAT-1-1</t>
  </si>
  <si>
    <t>Homo_sapiens_tRNA-Met-CAT-2-1</t>
  </si>
  <si>
    <t>Homo_sapiens_tRNA-Met-CAT-3-1</t>
  </si>
  <si>
    <t>Homo_sapiens_tRNA-Met-CAT-4-1</t>
  </si>
  <si>
    <t>Homo_sapiens_tRNA-Met-CAT-5-1</t>
  </si>
  <si>
    <t>Homo_sapiens_tRNA-Met-CAT-6-1</t>
  </si>
  <si>
    <t>Homo_sapiens_tRNA-Met-CAT-7-1</t>
  </si>
  <si>
    <t>Homo_sapiens_tRNA-Phe-GAA-1-1</t>
  </si>
  <si>
    <t>Homo_sapiens_tRNA-Phe-GAA-2-1</t>
  </si>
  <si>
    <t>Homo_sapiens_tRNA-Phe-GAA-3-1</t>
  </si>
  <si>
    <t>Homo_sapiens_tRNA-Phe-GAA-4-1</t>
  </si>
  <si>
    <t>Homo_sapiens_tRNA-Phe-GAA-6-1</t>
  </si>
  <si>
    <t>Homo_sapiens_tRNA-Pro-AGG-1-1</t>
  </si>
  <si>
    <t>Homo_sapiens_tRNA-Pro-AGG-2-1</t>
  </si>
  <si>
    <t>Homo_sapiens_tRNA-Pro-CGG-1-1</t>
  </si>
  <si>
    <t>Homo_sapiens_tRNA-Pro-CGG-2-1</t>
  </si>
  <si>
    <t>Homo_sapiens_tRNA-Pro-TGG-1-1</t>
  </si>
  <si>
    <t>Homo_sapiens_tRNA-Pro-TGG-2-1</t>
  </si>
  <si>
    <t>Homo_sapiens_tRNA-Pro-TGG-3-1</t>
  </si>
  <si>
    <t>Homo_sapiens_tRNA-SeC-TCA-1-1</t>
  </si>
  <si>
    <t>Homo_sapiens_tRNA-Ser-AGA-1-1</t>
  </si>
  <si>
    <t>Homo_sapiens_tRNA-Ser-AGA-2-1</t>
  </si>
  <si>
    <t>Homo_sapiens_tRNA-Ser-AGA-3-1</t>
  </si>
  <si>
    <t>Homo_sapiens_tRNA-Ser-AGA-4-1</t>
  </si>
  <si>
    <t>Homo_sapiens_tRNA-Ser-CGA-1-1</t>
  </si>
  <si>
    <t>Homo_sapiens_tRNA-Ser-CGA-2-1</t>
  </si>
  <si>
    <t>Homo_sapiens_tRNA-Ser-CGA-3-1</t>
  </si>
  <si>
    <t>Homo_sapiens_tRNA-Ser-CGA-4-1</t>
  </si>
  <si>
    <t>Homo_sapiens_tRNA-Ser-GCT-1-1</t>
  </si>
  <si>
    <t>Homo_sapiens_tRNA-Ser-GCT-2-1</t>
  </si>
  <si>
    <t>Homo_sapiens_tRNA-Ser-GCT-3-1</t>
  </si>
  <si>
    <t>Homo_sapiens_tRNA-Ser-GCT-4-1</t>
  </si>
  <si>
    <t>Homo_sapiens_tRNA-Ser-GCT-5-1</t>
  </si>
  <si>
    <t>Homo_sapiens_tRNA-Ser-GCT-6-1</t>
  </si>
  <si>
    <t>Homo_sapiens_tRNA-Ser-TGA-1-1</t>
  </si>
  <si>
    <t>Homo_sapiens_tRNA-Ser-TGA-2-1</t>
  </si>
  <si>
    <t>Homo_sapiens_tRNA-Ser-TGA-3-1</t>
  </si>
  <si>
    <t>Homo_sapiens_tRNA-Ser-TGA-4-1</t>
  </si>
  <si>
    <t>Homo_sapiens_tRNA-Thr-AGT-1-1</t>
  </si>
  <si>
    <t>Homo_sapiens_tRNA-Thr-AGT-2-1</t>
  </si>
  <si>
    <t>Homo_sapiens_tRNA-Thr-AGT-3-1</t>
  </si>
  <si>
    <t>Homo_sapiens_tRNA-Thr-AGT-4-1</t>
  </si>
  <si>
    <t>Homo_sapiens_tRNA-Thr-AGT-5-1</t>
  </si>
  <si>
    <t>Homo_sapiens_tRNA-Thr-AGT-6-1</t>
  </si>
  <si>
    <t>Homo_sapiens_tRNA-Thr-CGT-1-1</t>
  </si>
  <si>
    <t>Homo_sapiens_tRNA-Thr-CGT-2-1</t>
  </si>
  <si>
    <t>Homo_sapiens_tRNA-Thr-CGT-3-1</t>
  </si>
  <si>
    <t>Homo_sapiens_tRNA-Thr-CGT-4-1</t>
  </si>
  <si>
    <t>Homo_sapiens_tRNA-Thr-CGT-5-1</t>
  </si>
  <si>
    <t>Homo_sapiens_tRNA-Thr-TGT-1-1</t>
  </si>
  <si>
    <t>Homo_sapiens_tRNA-Thr-TGT-2-1</t>
  </si>
  <si>
    <t>Homo_sapiens_tRNA-Thr-TGT-3-1</t>
  </si>
  <si>
    <t>Homo_sapiens_tRNA-Thr-TGT-4-1</t>
  </si>
  <si>
    <t>Homo_sapiens_tRNA-Thr-TGT-5-1</t>
  </si>
  <si>
    <t>Homo_sapiens_tRNA-Thr-TGT-6-1</t>
  </si>
  <si>
    <t>Homo_sapiens_tRNA-Trp-CCA-1-1</t>
  </si>
  <si>
    <t>Homo_sapiens_tRNA-Trp-CCA-2-1</t>
  </si>
  <si>
    <t>Homo_sapiens_tRNA-Trp-CCA-3-1</t>
  </si>
  <si>
    <t>Homo_sapiens_tRNA-Trp-CCA-4-1</t>
  </si>
  <si>
    <t>Homo_sapiens_tRNA-Trp-CCA-5-1</t>
  </si>
  <si>
    <t>Homo_sapiens_tRNA-Tyr-ATA-1-1</t>
  </si>
  <si>
    <t>Homo_sapiens_tRNA-Tyr-GTA-1-1</t>
  </si>
  <si>
    <t>Homo_sapiens_tRNA-Tyr-GTA-2-1</t>
  </si>
  <si>
    <t>Homo_sapiens_tRNA-Tyr-GTA-3-1</t>
  </si>
  <si>
    <t>Homo_sapiens_tRNA-Tyr-GTA-4-1</t>
  </si>
  <si>
    <t>Homo_sapiens_tRNA-Tyr-GTA-5-1</t>
  </si>
  <si>
    <t>Homo_sapiens_tRNA-Tyr-GTA-6-1</t>
  </si>
  <si>
    <t>Homo_sapiens_tRNA-Tyr-GTA-7-1</t>
  </si>
  <si>
    <t>Homo_sapiens_tRNA-Tyr-GTA-8-1</t>
  </si>
  <si>
    <t>Homo_sapiens_tRNA-Tyr-GTA-9-1</t>
  </si>
  <si>
    <t>Homo_sapiens_tRNA-Val-AAC-1-1</t>
  </si>
  <si>
    <t>Homo_sapiens_tRNA-Val-AAC-2-1</t>
  </si>
  <si>
    <t>Homo_sapiens_tRNA-Val-AAC-3-1</t>
  </si>
  <si>
    <t>Homo_sapiens_tRNA-Val-AAC-4-1</t>
  </si>
  <si>
    <t>Homo_sapiens_tRNA-Val-AAC-5-1</t>
  </si>
  <si>
    <t>Homo_sapiens_tRNA-Val-AAC-6-1</t>
  </si>
  <si>
    <t>Homo_sapiens_tRNA-Val-CAC-1-1</t>
  </si>
  <si>
    <t>Homo_sapiens_tRNA-Val-CAC-14-1</t>
  </si>
  <si>
    <t>Homo_sapiens_tRNA-Val-CAC-2-1</t>
  </si>
  <si>
    <t>Homo_sapiens_tRNA-Val-CAC-3-1</t>
  </si>
  <si>
    <t>Homo_sapiens_tRNA-Val-CAC-4-1</t>
  </si>
  <si>
    <t>Homo_sapiens_tRNA-Val-CAC-6-1</t>
  </si>
  <si>
    <t>Homo_sapiens_tRNA-Val-TAC-1-1</t>
  </si>
  <si>
    <t>Homo_sapiens_tRNA-Val-TAC-2-1</t>
  </si>
  <si>
    <t>Homo_sapiens_tRNA-Val-TAC-3-1</t>
  </si>
  <si>
    <t>Homo_sapiens_tRNA-iMet-CAT-1-1</t>
  </si>
  <si>
    <t>5S_rRNA</t>
  </si>
  <si>
    <t>5.8S_rRNA</t>
  </si>
  <si>
    <t>oligo3</t>
  </si>
  <si>
    <t>oligo5</t>
  </si>
  <si>
    <t>*</t>
  </si>
  <si>
    <t>Homo_sapiens_tRNA-Ala-AGC-5-1</t>
    <phoneticPr fontId="18" type="noConversion"/>
  </si>
  <si>
    <t>Homo_sapiens_tRNA-Ala-CGC-4-1</t>
    <phoneticPr fontId="18" type="noConversion"/>
  </si>
  <si>
    <t>Homo_sapiens_tRNA-Ala-TGC-7-1</t>
    <phoneticPr fontId="18" type="noConversion"/>
  </si>
  <si>
    <t>Homo_sapiens_tRNA-Arg-ACG-2-1</t>
    <phoneticPr fontId="18" type="noConversion"/>
  </si>
  <si>
    <t>Homo_sapiens_tRNA-iMet-CAT-2-1</t>
    <phoneticPr fontId="18" type="noConversion"/>
  </si>
  <si>
    <t>Homo_sapiens_tRNA-Val-TAC-4-1</t>
    <phoneticPr fontId="18" type="noConversion"/>
  </si>
  <si>
    <t>Homo_sapiens_tRNA-Arg-CCG-2-1</t>
    <phoneticPr fontId="18" type="noConversion"/>
  </si>
  <si>
    <t>Ala-AGC</t>
  </si>
  <si>
    <t>Ala-CGC</t>
  </si>
  <si>
    <t>Ala-TGC</t>
  </si>
  <si>
    <t>Arg-ACG</t>
  </si>
  <si>
    <t>Arg-CCG</t>
  </si>
  <si>
    <t>Arg-CCT</t>
  </si>
  <si>
    <t>Arg-TCG</t>
  </si>
  <si>
    <t>Arg-TCT</t>
  </si>
  <si>
    <t>Asn-GTT</t>
  </si>
  <si>
    <t>Asp-GTC</t>
  </si>
  <si>
    <t>Cys-GCA</t>
  </si>
  <si>
    <t>Gln-CTG</t>
  </si>
  <si>
    <t>Gln-TTG</t>
  </si>
  <si>
    <t>Glu-CTC</t>
  </si>
  <si>
    <t>Glu-TTC</t>
  </si>
  <si>
    <t>Gly-CCC</t>
  </si>
  <si>
    <t>Gly-GCC</t>
  </si>
  <si>
    <t>Gly-TCC</t>
  </si>
  <si>
    <t>His-GTG</t>
  </si>
  <si>
    <t>Ile-AAT</t>
  </si>
  <si>
    <t>Ile-GAT</t>
  </si>
  <si>
    <t>Ile-TAT</t>
  </si>
  <si>
    <t>Leu-AAG</t>
  </si>
  <si>
    <t>Leu-CAA</t>
  </si>
  <si>
    <t>Leu-CAG</t>
  </si>
  <si>
    <t>Leu-TAA</t>
  </si>
  <si>
    <t>Leu-TAG</t>
  </si>
  <si>
    <t>Lys-CTT</t>
  </si>
  <si>
    <t>Lys-TTT</t>
  </si>
  <si>
    <t>Met-CAT</t>
  </si>
  <si>
    <t>Phe-GAA</t>
  </si>
  <si>
    <t>Pro-AGG</t>
  </si>
  <si>
    <t>Pro-CGG</t>
  </si>
  <si>
    <t>Pro-TGG</t>
  </si>
  <si>
    <t>SeC-TCA</t>
  </si>
  <si>
    <t>Ser-AGA</t>
  </si>
  <si>
    <t>Ser-CGA</t>
  </si>
  <si>
    <t>Ser-GCT</t>
  </si>
  <si>
    <t>Ser-TGA</t>
  </si>
  <si>
    <t>Thr-AGT</t>
  </si>
  <si>
    <t>Thr-CGT</t>
  </si>
  <si>
    <t>Thr-TGT</t>
  </si>
  <si>
    <t>Trp-CCA</t>
  </si>
  <si>
    <t>Tyr-ATA</t>
  </si>
  <si>
    <t>Tyr-GTA</t>
  </si>
  <si>
    <t>Val-AAC</t>
  </si>
  <si>
    <t>Val-CAC</t>
  </si>
  <si>
    <t>Val-TAC</t>
  </si>
  <si>
    <t>iMet-CAT</t>
  </si>
  <si>
    <t>Homo_sapiens_tRNA-Ala-AGC-5-1</t>
  </si>
  <si>
    <t>Homo_sapiens_tRNA-Ala-CGC-4-1</t>
  </si>
  <si>
    <t>Homo_sapiens_tRNA-Ala-TGC-7-1</t>
  </si>
  <si>
    <t>Homo_sapiens_tRNA-Arg-ACG-2-1</t>
  </si>
  <si>
    <t>Homo_sapiens_tRNA-Arg-CCG-2-1</t>
  </si>
  <si>
    <t>Homo_sapiens_tRNA-Val-TAC-4-1</t>
  </si>
  <si>
    <t>Homo_sapiens_tRNA-iMet-CAT-2-1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</si>
</sst>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3F03-9B4F-4A07-B711-9B3656A7D918}">
  <dimension ref="A1:F265"/>
  <sheetViews>
    <sheetView workbookViewId="0">
      <selection activeCell="G1" sqref="G1:G49"/>
    </sheetView>
  </sheetViews>
  <sheetFormatPr defaultRowHeight="13.8" x14ac:dyDescent="0.25"/>
  <cols>
    <col min="1" max="1" width="40.44140625" customWidth="1"/>
    <col min="4" max="4" width="51.33203125" customWidth="1"/>
  </cols>
  <sheetData>
    <row r="1" spans="1:6" x14ac:dyDescent="0.25">
      <c r="A1" t="s">
        <v>0</v>
      </c>
      <c r="B1">
        <v>47</v>
      </c>
      <c r="D1" t="s">
        <v>260</v>
      </c>
      <c r="F1" t="s">
        <v>525</v>
      </c>
    </row>
    <row r="2" spans="1:6" x14ac:dyDescent="0.25">
      <c r="A2" t="s">
        <v>1</v>
      </c>
      <c r="B2">
        <v>1</v>
      </c>
      <c r="D2" t="s">
        <v>261</v>
      </c>
      <c r="F2" t="s">
        <v>526</v>
      </c>
    </row>
    <row r="3" spans="1:6" x14ac:dyDescent="0.25">
      <c r="A3" t="s">
        <v>2</v>
      </c>
      <c r="B3">
        <v>44</v>
      </c>
      <c r="D3" t="s">
        <v>262</v>
      </c>
      <c r="F3" t="s">
        <v>527</v>
      </c>
    </row>
    <row r="4" spans="1:6" x14ac:dyDescent="0.25">
      <c r="A4" t="s">
        <v>3</v>
      </c>
      <c r="B4">
        <v>1</v>
      </c>
      <c r="D4" t="s">
        <v>263</v>
      </c>
      <c r="F4" t="s">
        <v>528</v>
      </c>
    </row>
    <row r="5" spans="1:6" x14ac:dyDescent="0.25">
      <c r="A5" t="s">
        <v>4</v>
      </c>
      <c r="B5">
        <v>1</v>
      </c>
      <c r="D5" t="s">
        <v>264</v>
      </c>
      <c r="F5" t="s">
        <v>529</v>
      </c>
    </row>
    <row r="6" spans="1:6" x14ac:dyDescent="0.25">
      <c r="A6" t="s">
        <v>5</v>
      </c>
      <c r="B6">
        <v>14</v>
      </c>
      <c r="D6" t="s">
        <v>265</v>
      </c>
      <c r="F6" t="s">
        <v>530</v>
      </c>
    </row>
    <row r="7" spans="1:6" x14ac:dyDescent="0.25">
      <c r="A7" t="s">
        <v>6</v>
      </c>
      <c r="B7">
        <v>4</v>
      </c>
      <c r="D7" t="s">
        <v>266</v>
      </c>
      <c r="F7" t="s">
        <v>531</v>
      </c>
    </row>
    <row r="8" spans="1:6" x14ac:dyDescent="0.25">
      <c r="A8" t="s">
        <v>7</v>
      </c>
      <c r="B8">
        <v>2</v>
      </c>
      <c r="D8" t="s">
        <v>267</v>
      </c>
      <c r="F8" t="s">
        <v>532</v>
      </c>
    </row>
    <row r="9" spans="1:6" x14ac:dyDescent="0.25">
      <c r="A9" t="s">
        <v>8</v>
      </c>
      <c r="B9">
        <v>32</v>
      </c>
      <c r="D9" t="s">
        <v>268</v>
      </c>
      <c r="F9" t="s">
        <v>533</v>
      </c>
    </row>
    <row r="10" spans="1:6" x14ac:dyDescent="0.25">
      <c r="A10" t="s">
        <v>9</v>
      </c>
      <c r="B10">
        <v>37</v>
      </c>
      <c r="D10" t="s">
        <v>269</v>
      </c>
      <c r="F10" t="s">
        <v>534</v>
      </c>
    </row>
    <row r="11" spans="1:6" x14ac:dyDescent="0.25">
      <c r="A11" t="s">
        <v>10</v>
      </c>
      <c r="B11">
        <v>32</v>
      </c>
      <c r="D11" t="s">
        <v>270</v>
      </c>
      <c r="F11" t="s">
        <v>535</v>
      </c>
    </row>
    <row r="12" spans="1:6" x14ac:dyDescent="0.25">
      <c r="A12" t="s">
        <v>11</v>
      </c>
      <c r="B12">
        <v>82</v>
      </c>
      <c r="D12" t="s">
        <v>271</v>
      </c>
      <c r="F12" t="s">
        <v>536</v>
      </c>
    </row>
    <row r="13" spans="1:6" x14ac:dyDescent="0.25">
      <c r="A13" t="s">
        <v>12</v>
      </c>
      <c r="B13">
        <v>126</v>
      </c>
      <c r="D13" t="s">
        <v>518</v>
      </c>
      <c r="F13" t="s">
        <v>537</v>
      </c>
    </row>
    <row r="14" spans="1:6" x14ac:dyDescent="0.25">
      <c r="A14" t="s">
        <v>13</v>
      </c>
      <c r="B14">
        <v>35</v>
      </c>
      <c r="D14" t="s">
        <v>272</v>
      </c>
      <c r="F14" t="s">
        <v>538</v>
      </c>
    </row>
    <row r="15" spans="1:6" x14ac:dyDescent="0.25">
      <c r="A15" t="s">
        <v>14</v>
      </c>
      <c r="B15">
        <v>133</v>
      </c>
      <c r="D15" t="s">
        <v>273</v>
      </c>
      <c r="F15" t="s">
        <v>539</v>
      </c>
    </row>
    <row r="16" spans="1:6" x14ac:dyDescent="0.25">
      <c r="A16" t="s">
        <v>15</v>
      </c>
      <c r="B16">
        <v>118</v>
      </c>
      <c r="C16">
        <f>SUM(B1:B16)/SUM(B:B)</f>
        <v>3.3941308822825408E-2</v>
      </c>
      <c r="D16" t="s">
        <v>274</v>
      </c>
      <c r="F16" t="s">
        <v>540</v>
      </c>
    </row>
    <row r="17" spans="1:6" x14ac:dyDescent="0.25">
      <c r="A17" t="s">
        <v>16</v>
      </c>
      <c r="B17">
        <v>0</v>
      </c>
      <c r="D17" t="s">
        <v>275</v>
      </c>
      <c r="F17" t="s">
        <v>541</v>
      </c>
    </row>
    <row r="18" spans="1:6" x14ac:dyDescent="0.25">
      <c r="A18" t="s">
        <v>17</v>
      </c>
      <c r="B18">
        <v>16</v>
      </c>
      <c r="D18" t="s">
        <v>276</v>
      </c>
      <c r="F18" t="s">
        <v>542</v>
      </c>
    </row>
    <row r="19" spans="1:6" x14ac:dyDescent="0.25">
      <c r="A19" t="s">
        <v>18</v>
      </c>
      <c r="B19">
        <v>39</v>
      </c>
      <c r="D19" t="s">
        <v>277</v>
      </c>
      <c r="F19" t="s">
        <v>543</v>
      </c>
    </row>
    <row r="20" spans="1:6" x14ac:dyDescent="0.25">
      <c r="A20" t="s">
        <v>19</v>
      </c>
      <c r="B20">
        <v>44</v>
      </c>
      <c r="C20">
        <f>SUM(B17:B20)/SUM(B:B)</f>
        <v>4.7393364928909956E-3</v>
      </c>
      <c r="D20" t="s">
        <v>519</v>
      </c>
      <c r="F20" t="s">
        <v>544</v>
      </c>
    </row>
    <row r="21" spans="1:6" x14ac:dyDescent="0.25">
      <c r="A21" t="s">
        <v>20</v>
      </c>
      <c r="B21">
        <v>2</v>
      </c>
      <c r="D21" t="s">
        <v>278</v>
      </c>
      <c r="F21" t="s">
        <v>545</v>
      </c>
    </row>
    <row r="22" spans="1:6" x14ac:dyDescent="0.25">
      <c r="A22" t="s">
        <v>21</v>
      </c>
      <c r="B22">
        <v>1</v>
      </c>
      <c r="D22" t="s">
        <v>279</v>
      </c>
      <c r="F22" t="s">
        <v>546</v>
      </c>
    </row>
    <row r="23" spans="1:6" x14ac:dyDescent="0.25">
      <c r="A23" t="s">
        <v>22</v>
      </c>
      <c r="B23">
        <v>1</v>
      </c>
      <c r="D23" t="s">
        <v>280</v>
      </c>
      <c r="F23" t="s">
        <v>547</v>
      </c>
    </row>
    <row r="24" spans="1:6" x14ac:dyDescent="0.25">
      <c r="A24" t="s">
        <v>23</v>
      </c>
      <c r="B24">
        <v>140</v>
      </c>
      <c r="D24" t="s">
        <v>281</v>
      </c>
      <c r="F24" t="s">
        <v>548</v>
      </c>
    </row>
    <row r="25" spans="1:6" x14ac:dyDescent="0.25">
      <c r="A25" t="s">
        <v>24</v>
      </c>
      <c r="B25">
        <v>0</v>
      </c>
      <c r="D25" t="s">
        <v>282</v>
      </c>
      <c r="F25" t="s">
        <v>549</v>
      </c>
    </row>
    <row r="26" spans="1:6" x14ac:dyDescent="0.25">
      <c r="A26" t="s">
        <v>25</v>
      </c>
      <c r="B26">
        <v>57</v>
      </c>
      <c r="D26" t="s">
        <v>283</v>
      </c>
      <c r="F26" t="s">
        <v>550</v>
      </c>
    </row>
    <row r="27" spans="1:6" x14ac:dyDescent="0.25">
      <c r="A27" t="s">
        <v>26</v>
      </c>
      <c r="B27">
        <v>0</v>
      </c>
      <c r="C27">
        <f>SUM(B21:B27)/SUM(B:B)</f>
        <v>9.6222892431423231E-3</v>
      </c>
      <c r="D27" t="s">
        <v>520</v>
      </c>
      <c r="F27" t="s">
        <v>551</v>
      </c>
    </row>
    <row r="28" spans="1:6" x14ac:dyDescent="0.25">
      <c r="A28" t="s">
        <v>27</v>
      </c>
      <c r="B28">
        <v>12</v>
      </c>
      <c r="D28" t="s">
        <v>284</v>
      </c>
      <c r="F28" t="s">
        <v>552</v>
      </c>
    </row>
    <row r="29" spans="1:6" x14ac:dyDescent="0.25">
      <c r="A29" t="s">
        <v>28</v>
      </c>
      <c r="B29">
        <v>5</v>
      </c>
      <c r="C29">
        <f>SUM(B28:B29)/SUM(B:B)</f>
        <v>8.1382545837522136E-4</v>
      </c>
      <c r="D29" t="s">
        <v>521</v>
      </c>
      <c r="F29" t="s">
        <v>553</v>
      </c>
    </row>
    <row r="30" spans="1:6" x14ac:dyDescent="0.25">
      <c r="A30" t="s">
        <v>29</v>
      </c>
      <c r="B30">
        <v>542</v>
      </c>
      <c r="D30" t="s">
        <v>285</v>
      </c>
      <c r="F30" t="s">
        <v>554</v>
      </c>
    </row>
    <row r="31" spans="1:6" x14ac:dyDescent="0.25">
      <c r="A31" t="s">
        <v>30</v>
      </c>
      <c r="B31">
        <v>388</v>
      </c>
      <c r="C31">
        <f>SUM(B30:B31)/SUM(B:B)</f>
        <v>4.4521039781703291E-2</v>
      </c>
      <c r="D31" t="s">
        <v>524</v>
      </c>
      <c r="F31" t="s">
        <v>555</v>
      </c>
    </row>
    <row r="32" spans="1:6" x14ac:dyDescent="0.25">
      <c r="A32" t="s">
        <v>31</v>
      </c>
      <c r="B32">
        <v>16</v>
      </c>
      <c r="D32" t="s">
        <v>286</v>
      </c>
      <c r="F32" t="s">
        <v>556</v>
      </c>
    </row>
    <row r="33" spans="1:6" x14ac:dyDescent="0.25">
      <c r="A33" t="s">
        <v>32</v>
      </c>
      <c r="B33">
        <v>42</v>
      </c>
      <c r="D33" t="s">
        <v>287</v>
      </c>
      <c r="F33" t="s">
        <v>557</v>
      </c>
    </row>
    <row r="34" spans="1:6" x14ac:dyDescent="0.25">
      <c r="A34" t="s">
        <v>33</v>
      </c>
      <c r="B34">
        <v>31</v>
      </c>
      <c r="D34" t="s">
        <v>288</v>
      </c>
      <c r="F34" t="s">
        <v>558</v>
      </c>
    </row>
    <row r="35" spans="1:6" x14ac:dyDescent="0.25">
      <c r="A35" t="s">
        <v>34</v>
      </c>
      <c r="B35">
        <v>20</v>
      </c>
      <c r="D35" t="s">
        <v>289</v>
      </c>
      <c r="F35" t="s">
        <v>559</v>
      </c>
    </row>
    <row r="36" spans="1:6" x14ac:dyDescent="0.25">
      <c r="A36" t="s">
        <v>35</v>
      </c>
      <c r="B36">
        <v>24</v>
      </c>
      <c r="C36">
        <f>SUM(B32:B36)/SUM(B:B)</f>
        <v>6.3669874096414381E-3</v>
      </c>
      <c r="D36" t="s">
        <v>290</v>
      </c>
      <c r="F36" t="s">
        <v>560</v>
      </c>
    </row>
    <row r="37" spans="1:6" x14ac:dyDescent="0.25">
      <c r="A37" t="s">
        <v>36</v>
      </c>
      <c r="B37">
        <v>484</v>
      </c>
      <c r="D37" t="s">
        <v>291</v>
      </c>
      <c r="F37" t="s">
        <v>561</v>
      </c>
    </row>
    <row r="38" spans="1:6" x14ac:dyDescent="0.25">
      <c r="A38" t="s">
        <v>37</v>
      </c>
      <c r="B38">
        <v>30</v>
      </c>
      <c r="D38" t="s">
        <v>292</v>
      </c>
      <c r="F38" t="s">
        <v>562</v>
      </c>
    </row>
    <row r="39" spans="1:6" x14ac:dyDescent="0.25">
      <c r="A39" t="s">
        <v>38</v>
      </c>
      <c r="B39">
        <v>36</v>
      </c>
      <c r="D39" t="s">
        <v>293</v>
      </c>
      <c r="F39" t="s">
        <v>563</v>
      </c>
    </row>
    <row r="40" spans="1:6" x14ac:dyDescent="0.25">
      <c r="A40" t="s">
        <v>39</v>
      </c>
      <c r="B40">
        <v>16</v>
      </c>
      <c r="D40" t="s">
        <v>294</v>
      </c>
      <c r="F40" t="s">
        <v>564</v>
      </c>
    </row>
    <row r="41" spans="1:6" x14ac:dyDescent="0.25">
      <c r="A41" t="s">
        <v>40</v>
      </c>
      <c r="B41">
        <v>135</v>
      </c>
      <c r="D41" t="s">
        <v>295</v>
      </c>
      <c r="F41" t="s">
        <v>565</v>
      </c>
    </row>
    <row r="42" spans="1:6" x14ac:dyDescent="0.25">
      <c r="A42" t="s">
        <v>41</v>
      </c>
      <c r="B42">
        <v>19</v>
      </c>
      <c r="C42">
        <f>SUM(B37:B42)/SUM(B:B)</f>
        <v>3.4467901766479965E-2</v>
      </c>
      <c r="D42" t="s">
        <v>296</v>
      </c>
      <c r="F42" t="s">
        <v>566</v>
      </c>
    </row>
    <row r="43" spans="1:6" x14ac:dyDescent="0.25">
      <c r="A43" t="s">
        <v>42</v>
      </c>
      <c r="B43">
        <v>297</v>
      </c>
      <c r="D43" t="s">
        <v>297</v>
      </c>
      <c r="F43" t="s">
        <v>567</v>
      </c>
    </row>
    <row r="44" spans="1:6" x14ac:dyDescent="0.25">
      <c r="A44" t="s">
        <v>43</v>
      </c>
      <c r="B44">
        <v>51</v>
      </c>
      <c r="D44" t="s">
        <v>298</v>
      </c>
      <c r="F44" t="s">
        <v>568</v>
      </c>
    </row>
    <row r="45" spans="1:6" x14ac:dyDescent="0.25">
      <c r="A45" t="s">
        <v>44</v>
      </c>
      <c r="B45">
        <v>34</v>
      </c>
      <c r="D45" t="s">
        <v>299</v>
      </c>
      <c r="F45" t="s">
        <v>569</v>
      </c>
    </row>
    <row r="46" spans="1:6" x14ac:dyDescent="0.25">
      <c r="A46" t="s">
        <v>45</v>
      </c>
      <c r="B46">
        <v>61</v>
      </c>
      <c r="D46" t="s">
        <v>300</v>
      </c>
      <c r="F46" t="s">
        <v>570</v>
      </c>
    </row>
    <row r="47" spans="1:6" x14ac:dyDescent="0.25">
      <c r="A47" t="s">
        <v>46</v>
      </c>
      <c r="B47">
        <v>38</v>
      </c>
      <c r="C47">
        <f>SUM(B43:B47)/SUM(B:B)</f>
        <v>2.3026473263440088E-2</v>
      </c>
      <c r="D47" t="s">
        <v>301</v>
      </c>
      <c r="F47" t="s">
        <v>571</v>
      </c>
    </row>
    <row r="48" spans="1:6" x14ac:dyDescent="0.25">
      <c r="A48" t="s">
        <v>47</v>
      </c>
      <c r="B48">
        <v>4</v>
      </c>
      <c r="D48" t="s">
        <v>302</v>
      </c>
      <c r="F48" t="s">
        <v>572</v>
      </c>
    </row>
    <row r="49" spans="1:6" x14ac:dyDescent="0.25">
      <c r="A49" t="s">
        <v>48</v>
      </c>
      <c r="B49">
        <v>0</v>
      </c>
      <c r="D49" t="s">
        <v>303</v>
      </c>
      <c r="F49" t="s">
        <v>573</v>
      </c>
    </row>
    <row r="50" spans="1:6" x14ac:dyDescent="0.25">
      <c r="A50" t="s">
        <v>49</v>
      </c>
      <c r="B50">
        <v>77</v>
      </c>
      <c r="D50" t="s">
        <v>304</v>
      </c>
    </row>
    <row r="51" spans="1:6" x14ac:dyDescent="0.25">
      <c r="A51" t="s">
        <v>50</v>
      </c>
      <c r="B51">
        <v>1</v>
      </c>
      <c r="D51" t="s">
        <v>305</v>
      </c>
    </row>
    <row r="52" spans="1:6" x14ac:dyDescent="0.25">
      <c r="A52" t="s">
        <v>51</v>
      </c>
      <c r="B52">
        <v>1</v>
      </c>
      <c r="D52" t="s">
        <v>306</v>
      </c>
    </row>
    <row r="53" spans="1:6" x14ac:dyDescent="0.25">
      <c r="A53" t="s">
        <v>52</v>
      </c>
      <c r="B53">
        <v>30</v>
      </c>
      <c r="D53" t="s">
        <v>307</v>
      </c>
    </row>
    <row r="54" spans="1:6" x14ac:dyDescent="0.25">
      <c r="A54" t="s">
        <v>53</v>
      </c>
      <c r="B54">
        <v>2</v>
      </c>
      <c r="D54" t="s">
        <v>308</v>
      </c>
    </row>
    <row r="55" spans="1:6" x14ac:dyDescent="0.25">
      <c r="A55" t="s">
        <v>54</v>
      </c>
      <c r="B55">
        <v>66</v>
      </c>
      <c r="D55" t="s">
        <v>309</v>
      </c>
    </row>
    <row r="56" spans="1:6" x14ac:dyDescent="0.25">
      <c r="A56" t="s">
        <v>55</v>
      </c>
      <c r="B56">
        <v>6</v>
      </c>
      <c r="D56" t="s">
        <v>310</v>
      </c>
    </row>
    <row r="57" spans="1:6" x14ac:dyDescent="0.25">
      <c r="A57" t="s">
        <v>56</v>
      </c>
      <c r="B57">
        <v>66</v>
      </c>
      <c r="D57" t="s">
        <v>311</v>
      </c>
    </row>
    <row r="58" spans="1:6" x14ac:dyDescent="0.25">
      <c r="A58" t="s">
        <v>57</v>
      </c>
      <c r="B58">
        <v>1</v>
      </c>
      <c r="D58" t="s">
        <v>312</v>
      </c>
    </row>
    <row r="59" spans="1:6" x14ac:dyDescent="0.25">
      <c r="A59" t="s">
        <v>58</v>
      </c>
      <c r="B59">
        <v>4</v>
      </c>
      <c r="D59" t="s">
        <v>313</v>
      </c>
    </row>
    <row r="60" spans="1:6" x14ac:dyDescent="0.25">
      <c r="A60" t="s">
        <v>59</v>
      </c>
      <c r="B60">
        <v>27</v>
      </c>
      <c r="D60" t="s">
        <v>314</v>
      </c>
    </row>
    <row r="61" spans="1:6" x14ac:dyDescent="0.25">
      <c r="A61" t="s">
        <v>60</v>
      </c>
      <c r="B61">
        <v>4</v>
      </c>
      <c r="D61" t="s">
        <v>315</v>
      </c>
    </row>
    <row r="62" spans="1:6" x14ac:dyDescent="0.25">
      <c r="A62" t="s">
        <v>61</v>
      </c>
      <c r="B62">
        <v>6</v>
      </c>
      <c r="D62" t="s">
        <v>316</v>
      </c>
    </row>
    <row r="63" spans="1:6" x14ac:dyDescent="0.25">
      <c r="A63" t="s">
        <v>62</v>
      </c>
      <c r="B63">
        <v>0</v>
      </c>
      <c r="D63" t="s">
        <v>317</v>
      </c>
    </row>
    <row r="64" spans="1:6" x14ac:dyDescent="0.25">
      <c r="A64" t="s">
        <v>63</v>
      </c>
      <c r="B64">
        <v>1</v>
      </c>
      <c r="C64">
        <f>SUM(B48:B64)/SUM(B:B)</f>
        <v>1.4170137392886207E-2</v>
      </c>
      <c r="D64" t="s">
        <v>318</v>
      </c>
    </row>
    <row r="65" spans="1:4" x14ac:dyDescent="0.25">
      <c r="A65" t="s">
        <v>64</v>
      </c>
      <c r="B65">
        <v>648</v>
      </c>
      <c r="D65" t="s">
        <v>319</v>
      </c>
    </row>
    <row r="66" spans="1:4" x14ac:dyDescent="0.25">
      <c r="A66" t="s">
        <v>65</v>
      </c>
      <c r="B66">
        <v>686</v>
      </c>
      <c r="D66" t="s">
        <v>320</v>
      </c>
    </row>
    <row r="67" spans="1:4" x14ac:dyDescent="0.25">
      <c r="A67" t="s">
        <v>66</v>
      </c>
      <c r="B67">
        <v>82</v>
      </c>
      <c r="C67">
        <f>SUM(B65:B67)/SUM(B:B)</f>
        <v>6.7786873474077261E-2</v>
      </c>
      <c r="D67" t="s">
        <v>321</v>
      </c>
    </row>
    <row r="68" spans="1:4" x14ac:dyDescent="0.25">
      <c r="A68" t="s">
        <v>67</v>
      </c>
      <c r="B68">
        <v>5</v>
      </c>
      <c r="D68" t="s">
        <v>322</v>
      </c>
    </row>
    <row r="69" spans="1:4" x14ac:dyDescent="0.25">
      <c r="A69" t="s">
        <v>68</v>
      </c>
      <c r="B69">
        <v>3</v>
      </c>
      <c r="D69" t="s">
        <v>323</v>
      </c>
    </row>
    <row r="70" spans="1:4" x14ac:dyDescent="0.25">
      <c r="A70" t="s">
        <v>69</v>
      </c>
      <c r="B70">
        <v>22</v>
      </c>
      <c r="D70" t="s">
        <v>324</v>
      </c>
    </row>
    <row r="71" spans="1:4" x14ac:dyDescent="0.25">
      <c r="A71" t="s">
        <v>70</v>
      </c>
      <c r="B71">
        <v>36</v>
      </c>
      <c r="D71" t="s">
        <v>325</v>
      </c>
    </row>
    <row r="72" spans="1:4" x14ac:dyDescent="0.25">
      <c r="A72" t="s">
        <v>71</v>
      </c>
      <c r="B72">
        <v>0</v>
      </c>
      <c r="D72" t="s">
        <v>326</v>
      </c>
    </row>
    <row r="73" spans="1:4" x14ac:dyDescent="0.25">
      <c r="A73" t="s">
        <v>72</v>
      </c>
      <c r="B73">
        <v>2</v>
      </c>
      <c r="D73" t="s">
        <v>327</v>
      </c>
    </row>
    <row r="74" spans="1:4" x14ac:dyDescent="0.25">
      <c r="A74" t="s">
        <v>73</v>
      </c>
      <c r="B74">
        <v>0</v>
      </c>
      <c r="D74" t="s">
        <v>328</v>
      </c>
    </row>
    <row r="75" spans="1:4" x14ac:dyDescent="0.25">
      <c r="A75" t="s">
        <v>74</v>
      </c>
      <c r="B75">
        <v>4</v>
      </c>
      <c r="D75" t="s">
        <v>329</v>
      </c>
    </row>
    <row r="76" spans="1:4" x14ac:dyDescent="0.25">
      <c r="A76" t="s">
        <v>75</v>
      </c>
      <c r="B76">
        <v>14</v>
      </c>
      <c r="D76" t="s">
        <v>330</v>
      </c>
    </row>
    <row r="77" spans="1:4" x14ac:dyDescent="0.25">
      <c r="A77" t="s">
        <v>76</v>
      </c>
      <c r="B77">
        <v>1</v>
      </c>
      <c r="D77" t="s">
        <v>331</v>
      </c>
    </row>
    <row r="78" spans="1:4" x14ac:dyDescent="0.25">
      <c r="A78" t="s">
        <v>77</v>
      </c>
      <c r="B78">
        <v>4</v>
      </c>
      <c r="D78" t="s">
        <v>332</v>
      </c>
    </row>
    <row r="79" spans="1:4" x14ac:dyDescent="0.25">
      <c r="A79" t="s">
        <v>78</v>
      </c>
      <c r="B79">
        <v>1</v>
      </c>
      <c r="D79" t="s">
        <v>333</v>
      </c>
    </row>
    <row r="80" spans="1:4" x14ac:dyDescent="0.25">
      <c r="A80" t="s">
        <v>79</v>
      </c>
      <c r="B80">
        <v>0</v>
      </c>
      <c r="D80" t="s">
        <v>334</v>
      </c>
    </row>
    <row r="81" spans="1:4" x14ac:dyDescent="0.25">
      <c r="A81" t="s">
        <v>80</v>
      </c>
      <c r="B81">
        <v>0</v>
      </c>
      <c r="D81" t="s">
        <v>335</v>
      </c>
    </row>
    <row r="82" spans="1:4" x14ac:dyDescent="0.25">
      <c r="A82" t="s">
        <v>81</v>
      </c>
      <c r="B82">
        <v>98</v>
      </c>
      <c r="D82" t="s">
        <v>336</v>
      </c>
    </row>
    <row r="83" spans="1:4" x14ac:dyDescent="0.25">
      <c r="A83" t="s">
        <v>82</v>
      </c>
      <c r="B83">
        <v>31</v>
      </c>
      <c r="D83" t="s">
        <v>337</v>
      </c>
    </row>
    <row r="84" spans="1:4" x14ac:dyDescent="0.25">
      <c r="A84" t="s">
        <v>83</v>
      </c>
      <c r="B84">
        <v>4</v>
      </c>
      <c r="D84" t="s">
        <v>338</v>
      </c>
    </row>
    <row r="85" spans="1:4" x14ac:dyDescent="0.25">
      <c r="A85" t="s">
        <v>84</v>
      </c>
      <c r="B85">
        <v>1</v>
      </c>
      <c r="D85" t="s">
        <v>339</v>
      </c>
    </row>
    <row r="86" spans="1:4" x14ac:dyDescent="0.25">
      <c r="A86" t="s">
        <v>85</v>
      </c>
      <c r="B86">
        <v>2</v>
      </c>
      <c r="D86" t="s">
        <v>340</v>
      </c>
    </row>
    <row r="87" spans="1:4" x14ac:dyDescent="0.25">
      <c r="A87" t="s">
        <v>86</v>
      </c>
      <c r="B87">
        <v>2</v>
      </c>
      <c r="D87" t="s">
        <v>341</v>
      </c>
    </row>
    <row r="88" spans="1:4" x14ac:dyDescent="0.25">
      <c r="A88" t="s">
        <v>87</v>
      </c>
      <c r="B88">
        <v>6</v>
      </c>
      <c r="D88" t="s">
        <v>342</v>
      </c>
    </row>
    <row r="89" spans="1:4" x14ac:dyDescent="0.25">
      <c r="A89" t="s">
        <v>88</v>
      </c>
      <c r="B89">
        <v>0</v>
      </c>
      <c r="D89" t="s">
        <v>343</v>
      </c>
    </row>
    <row r="90" spans="1:4" x14ac:dyDescent="0.25">
      <c r="A90" t="s">
        <v>89</v>
      </c>
      <c r="B90">
        <v>0</v>
      </c>
      <c r="C90">
        <f>SUM(B68:B90)/SUM(B:B)</f>
        <v>1.1297812245679544E-2</v>
      </c>
      <c r="D90" t="s">
        <v>344</v>
      </c>
    </row>
    <row r="91" spans="1:4" x14ac:dyDescent="0.25">
      <c r="A91" t="s">
        <v>90</v>
      </c>
      <c r="B91">
        <v>81</v>
      </c>
      <c r="D91" t="s">
        <v>345</v>
      </c>
    </row>
    <row r="92" spans="1:4" x14ac:dyDescent="0.25">
      <c r="A92" t="s">
        <v>91</v>
      </c>
      <c r="B92">
        <v>2</v>
      </c>
      <c r="D92" t="s">
        <v>346</v>
      </c>
    </row>
    <row r="93" spans="1:4" x14ac:dyDescent="0.25">
      <c r="A93" t="s">
        <v>92</v>
      </c>
      <c r="B93">
        <v>8</v>
      </c>
      <c r="D93" t="s">
        <v>347</v>
      </c>
    </row>
    <row r="94" spans="1:4" x14ac:dyDescent="0.25">
      <c r="A94" t="s">
        <v>93</v>
      </c>
      <c r="B94">
        <v>99</v>
      </c>
      <c r="D94" t="s">
        <v>348</v>
      </c>
    </row>
    <row r="95" spans="1:4" x14ac:dyDescent="0.25">
      <c r="A95" t="s">
        <v>94</v>
      </c>
      <c r="B95">
        <v>18</v>
      </c>
      <c r="D95" t="s">
        <v>349</v>
      </c>
    </row>
    <row r="96" spans="1:4" x14ac:dyDescent="0.25">
      <c r="A96" t="s">
        <v>95</v>
      </c>
      <c r="B96">
        <v>278</v>
      </c>
      <c r="D96" t="s">
        <v>350</v>
      </c>
    </row>
    <row r="97" spans="1:4" x14ac:dyDescent="0.25">
      <c r="A97" t="s">
        <v>96</v>
      </c>
      <c r="B97">
        <v>20</v>
      </c>
      <c r="C97">
        <f>SUM(B91:B97)/SUM(B:B)</f>
        <v>2.4223275408109531E-2</v>
      </c>
      <c r="D97" t="s">
        <v>351</v>
      </c>
    </row>
    <row r="98" spans="1:4" x14ac:dyDescent="0.25">
      <c r="A98" t="s">
        <v>97</v>
      </c>
      <c r="B98">
        <v>24</v>
      </c>
      <c r="D98" t="s">
        <v>352</v>
      </c>
    </row>
    <row r="99" spans="1:4" x14ac:dyDescent="0.25">
      <c r="A99" t="s">
        <v>98</v>
      </c>
      <c r="B99">
        <v>19</v>
      </c>
      <c r="D99" t="s">
        <v>353</v>
      </c>
    </row>
    <row r="100" spans="1:4" x14ac:dyDescent="0.25">
      <c r="A100" t="s">
        <v>99</v>
      </c>
      <c r="B100">
        <v>3</v>
      </c>
      <c r="D100" t="s">
        <v>354</v>
      </c>
    </row>
    <row r="101" spans="1:4" x14ac:dyDescent="0.25">
      <c r="A101" t="s">
        <v>100</v>
      </c>
      <c r="B101">
        <v>21</v>
      </c>
      <c r="C101">
        <f>SUM(B98:B101)/SUM(B:B)</f>
        <v>3.207429747714108E-3</v>
      </c>
      <c r="D101" t="s">
        <v>355</v>
      </c>
    </row>
    <row r="102" spans="1:4" x14ac:dyDescent="0.25">
      <c r="A102" t="s">
        <v>101</v>
      </c>
      <c r="B102">
        <v>857</v>
      </c>
      <c r="D102" t="s">
        <v>356</v>
      </c>
    </row>
    <row r="103" spans="1:4" x14ac:dyDescent="0.25">
      <c r="A103" t="s">
        <v>102</v>
      </c>
      <c r="B103">
        <v>143</v>
      </c>
      <c r="C103">
        <f>SUM(B102:B103)/SUM(B:B)</f>
        <v>4.7872085786777728E-2</v>
      </c>
      <c r="D103" t="s">
        <v>357</v>
      </c>
    </row>
    <row r="104" spans="1:4" x14ac:dyDescent="0.25">
      <c r="A104" t="s">
        <v>103</v>
      </c>
      <c r="B104">
        <v>301</v>
      </c>
      <c r="D104" t="s">
        <v>358</v>
      </c>
    </row>
    <row r="105" spans="1:4" x14ac:dyDescent="0.25">
      <c r="A105" t="s">
        <v>104</v>
      </c>
      <c r="B105">
        <v>423</v>
      </c>
      <c r="D105" t="s">
        <v>359</v>
      </c>
    </row>
    <row r="106" spans="1:4" x14ac:dyDescent="0.25">
      <c r="A106" t="s">
        <v>105</v>
      </c>
      <c r="B106">
        <v>869</v>
      </c>
      <c r="D106" t="s">
        <v>360</v>
      </c>
    </row>
    <row r="107" spans="1:4" x14ac:dyDescent="0.25">
      <c r="A107" t="s">
        <v>106</v>
      </c>
      <c r="B107">
        <v>67</v>
      </c>
      <c r="D107" t="s">
        <v>361</v>
      </c>
    </row>
    <row r="108" spans="1:4" x14ac:dyDescent="0.25">
      <c r="A108" t="s">
        <v>107</v>
      </c>
      <c r="B108">
        <v>88</v>
      </c>
      <c r="C108">
        <f>SUM(B104:B108)/SUM(B:B)</f>
        <v>8.3680405955287473E-2</v>
      </c>
      <c r="D108" t="s">
        <v>362</v>
      </c>
    </row>
    <row r="109" spans="1:4" x14ac:dyDescent="0.25">
      <c r="A109" t="s">
        <v>108</v>
      </c>
      <c r="B109">
        <v>126</v>
      </c>
      <c r="D109" t="s">
        <v>363</v>
      </c>
    </row>
    <row r="110" spans="1:4" x14ac:dyDescent="0.25">
      <c r="A110" t="s">
        <v>109</v>
      </c>
      <c r="B110">
        <v>1319</v>
      </c>
      <c r="D110" t="s">
        <v>364</v>
      </c>
    </row>
    <row r="111" spans="1:4" x14ac:dyDescent="0.25">
      <c r="A111" t="s">
        <v>110</v>
      </c>
      <c r="B111">
        <v>91</v>
      </c>
      <c r="C111">
        <f>SUM(B109:B111)/SUM(B:B)</f>
        <v>7.3531523768490592E-2</v>
      </c>
      <c r="D111" t="s">
        <v>365</v>
      </c>
    </row>
    <row r="112" spans="1:4" x14ac:dyDescent="0.25">
      <c r="A112" t="s">
        <v>111</v>
      </c>
      <c r="B112">
        <v>1360</v>
      </c>
      <c r="D112" t="s">
        <v>366</v>
      </c>
    </row>
    <row r="113" spans="1:4" x14ac:dyDescent="0.25">
      <c r="A113" t="s">
        <v>112</v>
      </c>
      <c r="B113">
        <v>2304</v>
      </c>
      <c r="D113" t="s">
        <v>367</v>
      </c>
    </row>
    <row r="114" spans="1:4" x14ac:dyDescent="0.25">
      <c r="A114" t="s">
        <v>113</v>
      </c>
      <c r="B114">
        <v>30</v>
      </c>
      <c r="D114" t="s">
        <v>368</v>
      </c>
    </row>
    <row r="115" spans="1:4" x14ac:dyDescent="0.25">
      <c r="A115" t="s">
        <v>114</v>
      </c>
      <c r="B115">
        <v>489</v>
      </c>
      <c r="D115" t="s">
        <v>369</v>
      </c>
    </row>
    <row r="116" spans="1:4" x14ac:dyDescent="0.25">
      <c r="A116" t="s">
        <v>115</v>
      </c>
      <c r="B116">
        <v>11</v>
      </c>
      <c r="C116">
        <f>SUM(B112:B116)/SUM(B:B)</f>
        <v>0.20077552778974581</v>
      </c>
      <c r="D116" t="s">
        <v>370</v>
      </c>
    </row>
    <row r="117" spans="1:4" x14ac:dyDescent="0.25">
      <c r="A117" t="s">
        <v>116</v>
      </c>
      <c r="B117">
        <v>48</v>
      </c>
      <c r="D117" t="s">
        <v>371</v>
      </c>
    </row>
    <row r="118" spans="1:4" x14ac:dyDescent="0.25">
      <c r="A118" t="s">
        <v>117</v>
      </c>
      <c r="B118">
        <v>11</v>
      </c>
      <c r="D118" t="s">
        <v>372</v>
      </c>
    </row>
    <row r="119" spans="1:4" x14ac:dyDescent="0.25">
      <c r="A119" t="s">
        <v>118</v>
      </c>
      <c r="B119">
        <v>9</v>
      </c>
      <c r="D119" t="s">
        <v>373</v>
      </c>
    </row>
    <row r="120" spans="1:4" x14ac:dyDescent="0.25">
      <c r="A120" t="s">
        <v>119</v>
      </c>
      <c r="B120">
        <v>31</v>
      </c>
      <c r="C120">
        <f>SUM(B117:B120)/SUM(B:B)</f>
        <v>4.7393364928909956E-3</v>
      </c>
      <c r="D120" t="s">
        <v>374</v>
      </c>
    </row>
    <row r="121" spans="1:4" x14ac:dyDescent="0.25">
      <c r="A121" t="s">
        <v>120</v>
      </c>
      <c r="B121">
        <v>1292</v>
      </c>
      <c r="C121">
        <f>B121/SUM(B:B)</f>
        <v>6.1850734836516826E-2</v>
      </c>
      <c r="D121" t="s">
        <v>375</v>
      </c>
    </row>
    <row r="122" spans="1:4" x14ac:dyDescent="0.25">
      <c r="A122" t="s">
        <v>121</v>
      </c>
      <c r="B122">
        <v>5</v>
      </c>
      <c r="D122" t="s">
        <v>376</v>
      </c>
    </row>
    <row r="123" spans="1:4" x14ac:dyDescent="0.25">
      <c r="A123" t="s">
        <v>122</v>
      </c>
      <c r="B123">
        <v>20</v>
      </c>
      <c r="D123" t="s">
        <v>377</v>
      </c>
    </row>
    <row r="124" spans="1:4" x14ac:dyDescent="0.25">
      <c r="A124" t="s">
        <v>123</v>
      </c>
      <c r="B124">
        <v>5</v>
      </c>
      <c r="D124" t="s">
        <v>378</v>
      </c>
    </row>
    <row r="125" spans="1:4" x14ac:dyDescent="0.25">
      <c r="A125" t="s">
        <v>124</v>
      </c>
      <c r="B125">
        <v>1</v>
      </c>
      <c r="D125" t="s">
        <v>379</v>
      </c>
    </row>
    <row r="126" spans="1:4" x14ac:dyDescent="0.25">
      <c r="A126" t="s">
        <v>125</v>
      </c>
      <c r="B126">
        <v>4</v>
      </c>
      <c r="D126" t="s">
        <v>380</v>
      </c>
    </row>
    <row r="127" spans="1:4" x14ac:dyDescent="0.25">
      <c r="A127" t="s">
        <v>126</v>
      </c>
      <c r="B127">
        <v>0</v>
      </c>
      <c r="D127" t="s">
        <v>381</v>
      </c>
    </row>
    <row r="128" spans="1:4" x14ac:dyDescent="0.25">
      <c r="A128" t="s">
        <v>127</v>
      </c>
      <c r="B128">
        <v>0</v>
      </c>
      <c r="D128" t="s">
        <v>382</v>
      </c>
    </row>
    <row r="129" spans="1:4" x14ac:dyDescent="0.25">
      <c r="A129" t="s">
        <v>128</v>
      </c>
      <c r="B129">
        <v>38</v>
      </c>
      <c r="D129" t="s">
        <v>383</v>
      </c>
    </row>
    <row r="130" spans="1:4" x14ac:dyDescent="0.25">
      <c r="A130" t="s">
        <v>129</v>
      </c>
      <c r="B130">
        <v>45</v>
      </c>
      <c r="D130" t="s">
        <v>384</v>
      </c>
    </row>
    <row r="131" spans="1:4" x14ac:dyDescent="0.25">
      <c r="A131" t="s">
        <v>130</v>
      </c>
      <c r="B131">
        <v>14</v>
      </c>
      <c r="C131">
        <f>SUM(B122:B131)/SUM(B:B)</f>
        <v>6.3191153238546603E-3</v>
      </c>
      <c r="D131" t="s">
        <v>385</v>
      </c>
    </row>
    <row r="132" spans="1:4" x14ac:dyDescent="0.25">
      <c r="A132" t="s">
        <v>131</v>
      </c>
      <c r="B132">
        <v>27</v>
      </c>
      <c r="C132">
        <f>B132/SUM(B:B)</f>
        <v>1.2925463162429987E-3</v>
      </c>
      <c r="D132" t="s">
        <v>386</v>
      </c>
    </row>
    <row r="133" spans="1:4" x14ac:dyDescent="0.25">
      <c r="A133" t="s">
        <v>132</v>
      </c>
      <c r="B133">
        <v>10</v>
      </c>
      <c r="D133" t="s">
        <v>387</v>
      </c>
    </row>
    <row r="134" spans="1:4" x14ac:dyDescent="0.25">
      <c r="A134" t="s">
        <v>133</v>
      </c>
      <c r="B134">
        <v>8</v>
      </c>
      <c r="D134" t="s">
        <v>388</v>
      </c>
    </row>
    <row r="135" spans="1:4" x14ac:dyDescent="0.25">
      <c r="A135" t="s">
        <v>134</v>
      </c>
      <c r="B135">
        <v>2</v>
      </c>
      <c r="C135">
        <f>SUM(B133:B135)/SUM(B:B)</f>
        <v>9.5744171573555455E-4</v>
      </c>
      <c r="D135" t="s">
        <v>389</v>
      </c>
    </row>
    <row r="136" spans="1:4" x14ac:dyDescent="0.25">
      <c r="A136" t="s">
        <v>135</v>
      </c>
      <c r="B136">
        <v>4</v>
      </c>
      <c r="D136" t="s">
        <v>390</v>
      </c>
    </row>
    <row r="137" spans="1:4" x14ac:dyDescent="0.25">
      <c r="A137" t="s">
        <v>136</v>
      </c>
      <c r="B137">
        <v>1</v>
      </c>
      <c r="D137" t="s">
        <v>391</v>
      </c>
    </row>
    <row r="138" spans="1:4" x14ac:dyDescent="0.25">
      <c r="A138" t="s">
        <v>137</v>
      </c>
      <c r="B138">
        <v>5</v>
      </c>
      <c r="D138" t="s">
        <v>392</v>
      </c>
    </row>
    <row r="139" spans="1:4" x14ac:dyDescent="0.25">
      <c r="A139" t="s">
        <v>138</v>
      </c>
      <c r="B139">
        <v>67</v>
      </c>
      <c r="C139">
        <f>SUM(B136:B139)/SUM(B:B)</f>
        <v>3.686150605581885E-3</v>
      </c>
      <c r="D139" t="s">
        <v>393</v>
      </c>
    </row>
    <row r="140" spans="1:4" x14ac:dyDescent="0.25">
      <c r="A140" t="s">
        <v>139</v>
      </c>
      <c r="B140">
        <v>18</v>
      </c>
      <c r="D140" t="s">
        <v>394</v>
      </c>
    </row>
    <row r="141" spans="1:4" x14ac:dyDescent="0.25">
      <c r="A141" t="s">
        <v>140</v>
      </c>
      <c r="B141">
        <v>2</v>
      </c>
      <c r="D141" t="s">
        <v>395</v>
      </c>
    </row>
    <row r="142" spans="1:4" x14ac:dyDescent="0.25">
      <c r="A142" t="s">
        <v>141</v>
      </c>
      <c r="B142">
        <v>4</v>
      </c>
      <c r="D142" t="s">
        <v>396</v>
      </c>
    </row>
    <row r="143" spans="1:4" x14ac:dyDescent="0.25">
      <c r="A143" t="s">
        <v>142</v>
      </c>
      <c r="B143">
        <v>3</v>
      </c>
      <c r="D143" t="s">
        <v>397</v>
      </c>
    </row>
    <row r="144" spans="1:4" x14ac:dyDescent="0.25">
      <c r="A144" t="s">
        <v>143</v>
      </c>
      <c r="B144">
        <v>18</v>
      </c>
      <c r="D144" t="s">
        <v>398</v>
      </c>
    </row>
    <row r="145" spans="1:4" x14ac:dyDescent="0.25">
      <c r="A145" t="s">
        <v>144</v>
      </c>
      <c r="B145">
        <v>109</v>
      </c>
      <c r="C145">
        <f>SUM(B140:B145)/SUM(B:B)</f>
        <v>7.37230121116377E-3</v>
      </c>
      <c r="D145" t="s">
        <v>399</v>
      </c>
    </row>
    <row r="146" spans="1:4" x14ac:dyDescent="0.25">
      <c r="A146" t="s">
        <v>145</v>
      </c>
      <c r="B146">
        <v>100</v>
      </c>
      <c r="D146" t="s">
        <v>400</v>
      </c>
    </row>
    <row r="147" spans="1:4" x14ac:dyDescent="0.25">
      <c r="A147" t="s">
        <v>146</v>
      </c>
      <c r="B147">
        <v>8</v>
      </c>
      <c r="C147">
        <f>SUM(B146:B147)/SUM(B:B)</f>
        <v>5.1701852649719948E-3</v>
      </c>
      <c r="D147" t="s">
        <v>401</v>
      </c>
    </row>
    <row r="148" spans="1:4" x14ac:dyDescent="0.25">
      <c r="A148" t="s">
        <v>147</v>
      </c>
      <c r="B148">
        <v>113</v>
      </c>
      <c r="D148" t="s">
        <v>402</v>
      </c>
    </row>
    <row r="149" spans="1:4" x14ac:dyDescent="0.25">
      <c r="A149" t="s">
        <v>148</v>
      </c>
      <c r="B149">
        <v>3</v>
      </c>
      <c r="D149" t="s">
        <v>403</v>
      </c>
    </row>
    <row r="150" spans="1:4" x14ac:dyDescent="0.25">
      <c r="A150" t="s">
        <v>149</v>
      </c>
      <c r="B150">
        <v>75</v>
      </c>
      <c r="D150" t="s">
        <v>404</v>
      </c>
    </row>
    <row r="151" spans="1:4" x14ac:dyDescent="0.25">
      <c r="A151" t="s">
        <v>150</v>
      </c>
      <c r="B151">
        <v>13</v>
      </c>
      <c r="C151">
        <f>SUM(B148:B151)/SUM(B:B)</f>
        <v>9.7659055005026568E-3</v>
      </c>
      <c r="D151" t="s">
        <v>405</v>
      </c>
    </row>
    <row r="152" spans="1:4" x14ac:dyDescent="0.25">
      <c r="A152" t="s">
        <v>151</v>
      </c>
      <c r="B152">
        <v>9</v>
      </c>
      <c r="D152" t="s">
        <v>406</v>
      </c>
    </row>
    <row r="153" spans="1:4" x14ac:dyDescent="0.25">
      <c r="A153" t="s">
        <v>152</v>
      </c>
      <c r="B153">
        <v>85</v>
      </c>
      <c r="D153" t="s">
        <v>407</v>
      </c>
    </row>
    <row r="154" spans="1:4" x14ac:dyDescent="0.25">
      <c r="A154" t="s">
        <v>153</v>
      </c>
      <c r="B154">
        <v>54</v>
      </c>
      <c r="C154">
        <f>SUM(B152:B154)/SUM(B:B)</f>
        <v>7.0850686964431036E-3</v>
      </c>
      <c r="D154" t="s">
        <v>408</v>
      </c>
    </row>
    <row r="155" spans="1:4" x14ac:dyDescent="0.25">
      <c r="A155" t="s">
        <v>154</v>
      </c>
      <c r="B155">
        <v>307</v>
      </c>
      <c r="D155" t="s">
        <v>409</v>
      </c>
    </row>
    <row r="156" spans="1:4" x14ac:dyDescent="0.25">
      <c r="A156" t="s">
        <v>155</v>
      </c>
      <c r="B156">
        <v>54</v>
      </c>
      <c r="D156" t="s">
        <v>410</v>
      </c>
    </row>
    <row r="157" spans="1:4" x14ac:dyDescent="0.25">
      <c r="A157" t="s">
        <v>156</v>
      </c>
      <c r="B157">
        <v>11</v>
      </c>
      <c r="D157" t="s">
        <v>411</v>
      </c>
    </row>
    <row r="158" spans="1:4" x14ac:dyDescent="0.25">
      <c r="A158" t="s">
        <v>157</v>
      </c>
      <c r="B158">
        <v>2</v>
      </c>
      <c r="D158" t="s">
        <v>412</v>
      </c>
    </row>
    <row r="159" spans="1:4" x14ac:dyDescent="0.25">
      <c r="A159" t="s">
        <v>158</v>
      </c>
      <c r="B159">
        <v>8</v>
      </c>
      <c r="D159" t="s">
        <v>413</v>
      </c>
    </row>
    <row r="160" spans="1:4" x14ac:dyDescent="0.25">
      <c r="A160" t="s">
        <v>159</v>
      </c>
      <c r="B160">
        <v>8</v>
      </c>
      <c r="D160" t="s">
        <v>414</v>
      </c>
    </row>
    <row r="161" spans="1:4" x14ac:dyDescent="0.25">
      <c r="A161" t="s">
        <v>160</v>
      </c>
      <c r="B161">
        <v>16</v>
      </c>
      <c r="D161" t="s">
        <v>415</v>
      </c>
    </row>
    <row r="162" spans="1:4" x14ac:dyDescent="0.25">
      <c r="A162" t="s">
        <v>161</v>
      </c>
      <c r="B162">
        <v>25</v>
      </c>
      <c r="D162" t="s">
        <v>416</v>
      </c>
    </row>
    <row r="163" spans="1:4" x14ac:dyDescent="0.25">
      <c r="A163" t="s">
        <v>162</v>
      </c>
      <c r="B163">
        <v>20</v>
      </c>
      <c r="D163" t="s">
        <v>417</v>
      </c>
    </row>
    <row r="164" spans="1:4" x14ac:dyDescent="0.25">
      <c r="A164" t="s">
        <v>163</v>
      </c>
      <c r="B164">
        <v>38</v>
      </c>
      <c r="C164">
        <f>SUM(B155:B164)/SUM(B:B)</f>
        <v>2.3409449949734311E-2</v>
      </c>
      <c r="D164" t="s">
        <v>418</v>
      </c>
    </row>
    <row r="165" spans="1:4" x14ac:dyDescent="0.25">
      <c r="A165" t="s">
        <v>164</v>
      </c>
      <c r="B165">
        <v>25</v>
      </c>
      <c r="D165" t="s">
        <v>419</v>
      </c>
    </row>
    <row r="166" spans="1:4" x14ac:dyDescent="0.25">
      <c r="A166" t="s">
        <v>165</v>
      </c>
      <c r="B166">
        <v>57</v>
      </c>
      <c r="D166" t="s">
        <v>420</v>
      </c>
    </row>
    <row r="167" spans="1:4" x14ac:dyDescent="0.25">
      <c r="A167" t="s">
        <v>166</v>
      </c>
      <c r="B167">
        <v>5</v>
      </c>
      <c r="D167" t="s">
        <v>421</v>
      </c>
    </row>
    <row r="168" spans="1:4" x14ac:dyDescent="0.25">
      <c r="A168" t="s">
        <v>167</v>
      </c>
      <c r="B168">
        <v>22</v>
      </c>
      <c r="D168" t="s">
        <v>422</v>
      </c>
    </row>
    <row r="169" spans="1:4" x14ac:dyDescent="0.25">
      <c r="A169" t="s">
        <v>168</v>
      </c>
      <c r="B169">
        <v>0</v>
      </c>
      <c r="D169" t="s">
        <v>423</v>
      </c>
    </row>
    <row r="170" spans="1:4" x14ac:dyDescent="0.25">
      <c r="A170" t="s">
        <v>169</v>
      </c>
      <c r="B170">
        <v>35</v>
      </c>
      <c r="D170" t="s">
        <v>424</v>
      </c>
    </row>
    <row r="171" spans="1:4" x14ac:dyDescent="0.25">
      <c r="A171" t="s">
        <v>170</v>
      </c>
      <c r="B171">
        <v>51</v>
      </c>
      <c r="D171" t="s">
        <v>425</v>
      </c>
    </row>
    <row r="172" spans="1:4" x14ac:dyDescent="0.25">
      <c r="A172" t="s">
        <v>171</v>
      </c>
      <c r="B172">
        <v>15</v>
      </c>
      <c r="C172">
        <f>SUM(B165:B172)/SUM(B:B)</f>
        <v>1.0053138015223324E-2</v>
      </c>
      <c r="D172" t="s">
        <v>426</v>
      </c>
    </row>
    <row r="173" spans="1:4" x14ac:dyDescent="0.25">
      <c r="A173" t="s">
        <v>172</v>
      </c>
      <c r="B173">
        <v>8</v>
      </c>
      <c r="D173" t="s">
        <v>427</v>
      </c>
    </row>
    <row r="174" spans="1:4" x14ac:dyDescent="0.25">
      <c r="A174" t="s">
        <v>173</v>
      </c>
      <c r="B174">
        <v>4</v>
      </c>
      <c r="D174" t="s">
        <v>428</v>
      </c>
    </row>
    <row r="175" spans="1:4" x14ac:dyDescent="0.25">
      <c r="A175" t="s">
        <v>174</v>
      </c>
      <c r="B175">
        <v>6</v>
      </c>
      <c r="D175" t="s">
        <v>429</v>
      </c>
    </row>
    <row r="176" spans="1:4" x14ac:dyDescent="0.25">
      <c r="A176" t="s">
        <v>175</v>
      </c>
      <c r="B176">
        <v>51</v>
      </c>
      <c r="D176" t="s">
        <v>430</v>
      </c>
    </row>
    <row r="177" spans="1:4" x14ac:dyDescent="0.25">
      <c r="A177" t="s">
        <v>176</v>
      </c>
      <c r="B177">
        <v>2</v>
      </c>
      <c r="D177" t="s">
        <v>431</v>
      </c>
    </row>
    <row r="178" spans="1:4" x14ac:dyDescent="0.25">
      <c r="A178" t="s">
        <v>177</v>
      </c>
      <c r="B178">
        <v>7</v>
      </c>
      <c r="D178" t="s">
        <v>432</v>
      </c>
    </row>
    <row r="179" spans="1:4" x14ac:dyDescent="0.25">
      <c r="A179" t="s">
        <v>178</v>
      </c>
      <c r="B179">
        <v>12</v>
      </c>
      <c r="C179">
        <f>SUM(B173:B179)/SUM(B:B)</f>
        <v>4.3084877208099956E-3</v>
      </c>
      <c r="D179" t="s">
        <v>433</v>
      </c>
    </row>
    <row r="180" spans="1:4" x14ac:dyDescent="0.25">
      <c r="A180" t="s">
        <v>179</v>
      </c>
      <c r="B180">
        <v>0</v>
      </c>
      <c r="D180" t="s">
        <v>434</v>
      </c>
    </row>
    <row r="181" spans="1:4" x14ac:dyDescent="0.25">
      <c r="A181" t="s">
        <v>180</v>
      </c>
      <c r="B181">
        <v>0</v>
      </c>
      <c r="D181" t="s">
        <v>435</v>
      </c>
    </row>
    <row r="182" spans="1:4" x14ac:dyDescent="0.25">
      <c r="A182" t="s">
        <v>181</v>
      </c>
      <c r="B182">
        <v>3</v>
      </c>
      <c r="D182" t="s">
        <v>436</v>
      </c>
    </row>
    <row r="183" spans="1:4" x14ac:dyDescent="0.25">
      <c r="A183" t="s">
        <v>182</v>
      </c>
      <c r="B183">
        <v>22</v>
      </c>
      <c r="D183" t="s">
        <v>437</v>
      </c>
    </row>
    <row r="184" spans="1:4" x14ac:dyDescent="0.25">
      <c r="A184" t="s">
        <v>183</v>
      </c>
      <c r="B184">
        <v>102</v>
      </c>
      <c r="C184">
        <f>SUM(B180:B184)/SUM(B:B)</f>
        <v>6.0797548949207718E-3</v>
      </c>
      <c r="D184" t="s">
        <v>438</v>
      </c>
    </row>
    <row r="185" spans="1:4" x14ac:dyDescent="0.25">
      <c r="A185" t="s">
        <v>184</v>
      </c>
      <c r="B185">
        <v>91</v>
      </c>
      <c r="D185" t="s">
        <v>439</v>
      </c>
    </row>
    <row r="186" spans="1:4" x14ac:dyDescent="0.25">
      <c r="A186" t="s">
        <v>185</v>
      </c>
      <c r="B186">
        <v>2</v>
      </c>
      <c r="C186">
        <f>SUM(B185:B186)/SUM(B:B)</f>
        <v>4.4521039781703292E-3</v>
      </c>
      <c r="D186" t="s">
        <v>440</v>
      </c>
    </row>
    <row r="187" spans="1:4" x14ac:dyDescent="0.25">
      <c r="A187" t="s">
        <v>186</v>
      </c>
      <c r="B187">
        <v>0</v>
      </c>
      <c r="D187" t="s">
        <v>441</v>
      </c>
    </row>
    <row r="188" spans="1:4" x14ac:dyDescent="0.25">
      <c r="A188" t="s">
        <v>187</v>
      </c>
      <c r="B188">
        <v>112</v>
      </c>
      <c r="C188">
        <f>SUM(B187:B188)/SUM(B:B)</f>
        <v>5.3616736081191054E-3</v>
      </c>
      <c r="D188" t="s">
        <v>442</v>
      </c>
    </row>
    <row r="189" spans="1:4" x14ac:dyDescent="0.25">
      <c r="A189" t="s">
        <v>188</v>
      </c>
      <c r="B189">
        <v>47</v>
      </c>
      <c r="D189" t="s">
        <v>443</v>
      </c>
    </row>
    <row r="190" spans="1:4" x14ac:dyDescent="0.25">
      <c r="A190" t="s">
        <v>189</v>
      </c>
      <c r="B190">
        <v>42</v>
      </c>
      <c r="D190" t="s">
        <v>444</v>
      </c>
    </row>
    <row r="191" spans="1:4" x14ac:dyDescent="0.25">
      <c r="A191" t="s">
        <v>190</v>
      </c>
      <c r="B191">
        <v>10</v>
      </c>
      <c r="C191">
        <f>SUM(B189:B191)/SUM(B:B)</f>
        <v>4.7393364928909956E-3</v>
      </c>
      <c r="D191" t="s">
        <v>445</v>
      </c>
    </row>
    <row r="192" spans="1:4" x14ac:dyDescent="0.25">
      <c r="A192" t="s">
        <v>191</v>
      </c>
      <c r="B192">
        <v>87</v>
      </c>
      <c r="C192">
        <f>B192/SUM(B:B)</f>
        <v>4.1648714634496629E-3</v>
      </c>
      <c r="D192" t="s">
        <v>446</v>
      </c>
    </row>
    <row r="193" spans="1:4" x14ac:dyDescent="0.25">
      <c r="A193" t="s">
        <v>192</v>
      </c>
      <c r="B193">
        <v>8</v>
      </c>
      <c r="D193" t="s">
        <v>447</v>
      </c>
    </row>
    <row r="194" spans="1:4" x14ac:dyDescent="0.25">
      <c r="A194" t="s">
        <v>193</v>
      </c>
      <c r="B194">
        <v>110</v>
      </c>
      <c r="D194" t="s">
        <v>448</v>
      </c>
    </row>
    <row r="195" spans="1:4" x14ac:dyDescent="0.25">
      <c r="A195" t="s">
        <v>194</v>
      </c>
      <c r="B195">
        <v>3</v>
      </c>
      <c r="D195" t="s">
        <v>449</v>
      </c>
    </row>
    <row r="196" spans="1:4" x14ac:dyDescent="0.25">
      <c r="A196" t="s">
        <v>195</v>
      </c>
      <c r="B196">
        <v>11</v>
      </c>
      <c r="C196">
        <f>SUM(B193:B196)/SUM(B:B)</f>
        <v>6.3191153238546603E-3</v>
      </c>
      <c r="D196" t="s">
        <v>450</v>
      </c>
    </row>
    <row r="197" spans="1:4" x14ac:dyDescent="0.25">
      <c r="A197" t="s">
        <v>196</v>
      </c>
      <c r="B197">
        <v>5</v>
      </c>
      <c r="D197" t="s">
        <v>451</v>
      </c>
    </row>
    <row r="198" spans="1:4" x14ac:dyDescent="0.25">
      <c r="A198" t="s">
        <v>197</v>
      </c>
      <c r="B198">
        <v>3</v>
      </c>
      <c r="D198" t="s">
        <v>452</v>
      </c>
    </row>
    <row r="199" spans="1:4" x14ac:dyDescent="0.25">
      <c r="A199" t="s">
        <v>198</v>
      </c>
      <c r="B199">
        <v>9</v>
      </c>
      <c r="D199" t="s">
        <v>453</v>
      </c>
    </row>
    <row r="200" spans="1:4" x14ac:dyDescent="0.25">
      <c r="A200" t="s">
        <v>199</v>
      </c>
      <c r="B200">
        <v>186</v>
      </c>
      <c r="C200">
        <f>SUM(B197:B200)/SUM(B:B)</f>
        <v>9.7180334147158789E-3</v>
      </c>
      <c r="D200" t="s">
        <v>454</v>
      </c>
    </row>
    <row r="201" spans="1:4" x14ac:dyDescent="0.25">
      <c r="A201" t="s">
        <v>200</v>
      </c>
      <c r="B201">
        <v>19</v>
      </c>
      <c r="D201" t="s">
        <v>455</v>
      </c>
    </row>
    <row r="202" spans="1:4" x14ac:dyDescent="0.25">
      <c r="A202" t="s">
        <v>201</v>
      </c>
      <c r="B202">
        <v>13</v>
      </c>
      <c r="D202" t="s">
        <v>456</v>
      </c>
    </row>
    <row r="203" spans="1:4" x14ac:dyDescent="0.25">
      <c r="A203" t="s">
        <v>202</v>
      </c>
      <c r="B203">
        <v>10</v>
      </c>
      <c r="D203" t="s">
        <v>457</v>
      </c>
    </row>
    <row r="204" spans="1:4" x14ac:dyDescent="0.25">
      <c r="A204" t="s">
        <v>203</v>
      </c>
      <c r="B204">
        <v>51</v>
      </c>
      <c r="D204" t="s">
        <v>458</v>
      </c>
    </row>
    <row r="205" spans="1:4" x14ac:dyDescent="0.25">
      <c r="A205" t="s">
        <v>204</v>
      </c>
      <c r="B205">
        <v>0</v>
      </c>
      <c r="D205" t="s">
        <v>459</v>
      </c>
    </row>
    <row r="206" spans="1:4" x14ac:dyDescent="0.25">
      <c r="A206" t="s">
        <v>205</v>
      </c>
      <c r="B206">
        <v>10</v>
      </c>
      <c r="C206">
        <f>SUM(B201:B206)/SUM(B:B)</f>
        <v>4.9308248360381063E-3</v>
      </c>
      <c r="D206" t="s">
        <v>460</v>
      </c>
    </row>
    <row r="207" spans="1:4" x14ac:dyDescent="0.25">
      <c r="A207" t="s">
        <v>206</v>
      </c>
      <c r="B207">
        <v>261</v>
      </c>
      <c r="D207" t="s">
        <v>461</v>
      </c>
    </row>
    <row r="208" spans="1:4" x14ac:dyDescent="0.25">
      <c r="A208" t="s">
        <v>207</v>
      </c>
      <c r="B208">
        <v>20</v>
      </c>
      <c r="D208" t="s">
        <v>462</v>
      </c>
    </row>
    <row r="209" spans="1:4" x14ac:dyDescent="0.25">
      <c r="A209" t="s">
        <v>208</v>
      </c>
      <c r="B209">
        <v>25</v>
      </c>
      <c r="D209" t="s">
        <v>463</v>
      </c>
    </row>
    <row r="210" spans="1:4" x14ac:dyDescent="0.25">
      <c r="A210" t="s">
        <v>209</v>
      </c>
      <c r="B210">
        <v>63</v>
      </c>
      <c r="C210">
        <f>SUM(B207:B210)/SUM(B:B)</f>
        <v>1.7664799655320983E-2</v>
      </c>
      <c r="D210" t="s">
        <v>464</v>
      </c>
    </row>
    <row r="211" spans="1:4" x14ac:dyDescent="0.25">
      <c r="A211" t="s">
        <v>210</v>
      </c>
      <c r="B211">
        <v>10</v>
      </c>
      <c r="D211" t="s">
        <v>465</v>
      </c>
    </row>
    <row r="212" spans="1:4" x14ac:dyDescent="0.25">
      <c r="A212" t="s">
        <v>211</v>
      </c>
      <c r="B212">
        <v>20</v>
      </c>
      <c r="D212" t="s">
        <v>466</v>
      </c>
    </row>
    <row r="213" spans="1:4" x14ac:dyDescent="0.25">
      <c r="A213" t="s">
        <v>212</v>
      </c>
      <c r="B213">
        <v>20</v>
      </c>
      <c r="D213" t="s">
        <v>467</v>
      </c>
    </row>
    <row r="214" spans="1:4" x14ac:dyDescent="0.25">
      <c r="A214" t="s">
        <v>213</v>
      </c>
      <c r="B214">
        <v>56</v>
      </c>
      <c r="D214" t="s">
        <v>468</v>
      </c>
    </row>
    <row r="215" spans="1:4" x14ac:dyDescent="0.25">
      <c r="A215" t="s">
        <v>214</v>
      </c>
      <c r="B215">
        <v>18</v>
      </c>
      <c r="D215" t="s">
        <v>469</v>
      </c>
    </row>
    <row r="216" spans="1:4" x14ac:dyDescent="0.25">
      <c r="A216" t="s">
        <v>215</v>
      </c>
      <c r="B216">
        <v>95</v>
      </c>
      <c r="C216">
        <f>SUM(B211:B216)/SUM(B:B)</f>
        <v>1.0483986787304323E-2</v>
      </c>
      <c r="D216" t="s">
        <v>470</v>
      </c>
    </row>
    <row r="217" spans="1:4" x14ac:dyDescent="0.25">
      <c r="A217" t="s">
        <v>216</v>
      </c>
      <c r="B217">
        <v>89</v>
      </c>
      <c r="D217" t="s">
        <v>471</v>
      </c>
    </row>
    <row r="218" spans="1:4" x14ac:dyDescent="0.25">
      <c r="A218" t="s">
        <v>217</v>
      </c>
      <c r="B218">
        <v>14</v>
      </c>
      <c r="D218" t="s">
        <v>472</v>
      </c>
    </row>
    <row r="219" spans="1:4" x14ac:dyDescent="0.25">
      <c r="A219" t="s">
        <v>218</v>
      </c>
      <c r="B219">
        <v>21</v>
      </c>
      <c r="D219" t="s">
        <v>473</v>
      </c>
    </row>
    <row r="220" spans="1:4" x14ac:dyDescent="0.25">
      <c r="A220" t="s">
        <v>219</v>
      </c>
      <c r="B220">
        <v>89</v>
      </c>
      <c r="D220" t="s">
        <v>474</v>
      </c>
    </row>
    <row r="221" spans="1:4" x14ac:dyDescent="0.25">
      <c r="A221" t="s">
        <v>220</v>
      </c>
      <c r="B221">
        <v>23</v>
      </c>
      <c r="C221">
        <f>SUM(B217:B221)/SUM(B:B)</f>
        <v>1.1297812245679544E-2</v>
      </c>
      <c r="D221" t="s">
        <v>475</v>
      </c>
    </row>
    <row r="222" spans="1:4" x14ac:dyDescent="0.25">
      <c r="A222" t="s">
        <v>221</v>
      </c>
      <c r="B222">
        <v>74</v>
      </c>
      <c r="D222" t="s">
        <v>476</v>
      </c>
    </row>
    <row r="223" spans="1:4" x14ac:dyDescent="0.25">
      <c r="A223" t="s">
        <v>222</v>
      </c>
      <c r="B223">
        <v>94</v>
      </c>
      <c r="D223" t="s">
        <v>477</v>
      </c>
    </row>
    <row r="224" spans="1:4" x14ac:dyDescent="0.25">
      <c r="A224" t="s">
        <v>223</v>
      </c>
      <c r="B224">
        <v>17</v>
      </c>
      <c r="D224" t="s">
        <v>478</v>
      </c>
    </row>
    <row r="225" spans="1:4" x14ac:dyDescent="0.25">
      <c r="A225" t="s">
        <v>224</v>
      </c>
      <c r="B225">
        <v>0</v>
      </c>
      <c r="D225" t="s">
        <v>479</v>
      </c>
    </row>
    <row r="226" spans="1:4" x14ac:dyDescent="0.25">
      <c r="A226" t="s">
        <v>225</v>
      </c>
      <c r="B226">
        <v>44</v>
      </c>
      <c r="D226" t="s">
        <v>480</v>
      </c>
    </row>
    <row r="227" spans="1:4" x14ac:dyDescent="0.25">
      <c r="A227" t="s">
        <v>226</v>
      </c>
      <c r="B227">
        <v>0</v>
      </c>
      <c r="C227">
        <f>SUM(B222:B227)/SUM(B:B)</f>
        <v>1.09627076451721E-2</v>
      </c>
      <c r="D227" t="s">
        <v>481</v>
      </c>
    </row>
    <row r="228" spans="1:4" x14ac:dyDescent="0.25">
      <c r="A228" t="s">
        <v>227</v>
      </c>
      <c r="B228">
        <v>18</v>
      </c>
      <c r="D228" t="s">
        <v>482</v>
      </c>
    </row>
    <row r="229" spans="1:4" x14ac:dyDescent="0.25">
      <c r="A229" t="s">
        <v>228</v>
      </c>
      <c r="B229">
        <v>69</v>
      </c>
      <c r="D229" t="s">
        <v>483</v>
      </c>
    </row>
    <row r="230" spans="1:4" x14ac:dyDescent="0.25">
      <c r="A230" t="s">
        <v>229</v>
      </c>
      <c r="B230">
        <v>2</v>
      </c>
      <c r="D230" t="s">
        <v>484</v>
      </c>
    </row>
    <row r="231" spans="1:4" x14ac:dyDescent="0.25">
      <c r="A231" t="s">
        <v>230</v>
      </c>
      <c r="B231">
        <v>15</v>
      </c>
      <c r="D231" t="s">
        <v>485</v>
      </c>
    </row>
    <row r="232" spans="1:4" x14ac:dyDescent="0.25">
      <c r="A232" t="s">
        <v>231</v>
      </c>
      <c r="B232">
        <v>6</v>
      </c>
      <c r="C232">
        <f>SUM(B228:B232)/SUM(B:B)</f>
        <v>5.2659294365455505E-3</v>
      </c>
      <c r="D232" t="s">
        <v>486</v>
      </c>
    </row>
    <row r="233" spans="1:4" x14ac:dyDescent="0.25">
      <c r="A233" t="s">
        <v>232</v>
      </c>
      <c r="B233">
        <v>145</v>
      </c>
      <c r="C233">
        <f>B233/SUM(B:B)</f>
        <v>6.9414524390827709E-3</v>
      </c>
      <c r="D233" t="s">
        <v>487</v>
      </c>
    </row>
    <row r="234" spans="1:4" x14ac:dyDescent="0.25">
      <c r="A234" t="s">
        <v>233</v>
      </c>
      <c r="B234">
        <v>0</v>
      </c>
      <c r="D234" t="s">
        <v>488</v>
      </c>
    </row>
    <row r="235" spans="1:4" x14ac:dyDescent="0.25">
      <c r="A235" t="s">
        <v>234</v>
      </c>
      <c r="B235">
        <v>0</v>
      </c>
      <c r="D235" t="s">
        <v>489</v>
      </c>
    </row>
    <row r="236" spans="1:4" x14ac:dyDescent="0.25">
      <c r="A236" t="s">
        <v>235</v>
      </c>
      <c r="B236">
        <v>0</v>
      </c>
      <c r="D236" t="s">
        <v>490</v>
      </c>
    </row>
    <row r="237" spans="1:4" x14ac:dyDescent="0.25">
      <c r="A237" t="s">
        <v>236</v>
      </c>
      <c r="B237">
        <v>21</v>
      </c>
      <c r="D237" t="s">
        <v>491</v>
      </c>
    </row>
    <row r="238" spans="1:4" x14ac:dyDescent="0.25">
      <c r="A238" t="s">
        <v>237</v>
      </c>
      <c r="B238">
        <v>3</v>
      </c>
      <c r="D238" t="s">
        <v>492</v>
      </c>
    </row>
    <row r="239" spans="1:4" x14ac:dyDescent="0.25">
      <c r="A239" t="s">
        <v>238</v>
      </c>
      <c r="B239">
        <v>2</v>
      </c>
      <c r="D239" t="s">
        <v>493</v>
      </c>
    </row>
    <row r="240" spans="1:4" x14ac:dyDescent="0.25">
      <c r="A240" t="s">
        <v>239</v>
      </c>
      <c r="B240">
        <v>16</v>
      </c>
      <c r="D240" t="s">
        <v>494</v>
      </c>
    </row>
    <row r="241" spans="1:4" x14ac:dyDescent="0.25">
      <c r="A241" t="s">
        <v>240</v>
      </c>
      <c r="B241">
        <v>3</v>
      </c>
      <c r="D241" t="s">
        <v>495</v>
      </c>
    </row>
    <row r="242" spans="1:4" x14ac:dyDescent="0.25">
      <c r="A242" t="s">
        <v>241</v>
      </c>
      <c r="B242">
        <v>26</v>
      </c>
      <c r="C242">
        <f>SUM(B234:B242)/SUM(B:B)</f>
        <v>3.3989180908612186E-3</v>
      </c>
      <c r="D242" t="s">
        <v>496</v>
      </c>
    </row>
    <row r="243" spans="1:4" x14ac:dyDescent="0.25">
      <c r="A243" t="s">
        <v>242</v>
      </c>
      <c r="B243">
        <v>1</v>
      </c>
      <c r="D243" t="s">
        <v>497</v>
      </c>
    </row>
    <row r="244" spans="1:4" x14ac:dyDescent="0.25">
      <c r="A244" t="s">
        <v>243</v>
      </c>
      <c r="B244">
        <v>5</v>
      </c>
      <c r="D244" t="s">
        <v>498</v>
      </c>
    </row>
    <row r="245" spans="1:4" x14ac:dyDescent="0.25">
      <c r="A245" t="s">
        <v>244</v>
      </c>
      <c r="B245">
        <v>92</v>
      </c>
      <c r="D245" t="s">
        <v>499</v>
      </c>
    </row>
    <row r="246" spans="1:4" x14ac:dyDescent="0.25">
      <c r="A246" t="s">
        <v>245</v>
      </c>
      <c r="B246">
        <v>1</v>
      </c>
      <c r="D246" t="s">
        <v>500</v>
      </c>
    </row>
    <row r="247" spans="1:4" x14ac:dyDescent="0.25">
      <c r="A247" t="s">
        <v>246</v>
      </c>
      <c r="B247">
        <v>184</v>
      </c>
      <c r="D247" t="s">
        <v>501</v>
      </c>
    </row>
    <row r="248" spans="1:4" x14ac:dyDescent="0.25">
      <c r="A248" t="s">
        <v>247</v>
      </c>
      <c r="B248">
        <v>25</v>
      </c>
      <c r="C248">
        <f>SUM(B243:B248)/SUM(B:B)</f>
        <v>1.474460242232754E-2</v>
      </c>
      <c r="D248" t="s">
        <v>502</v>
      </c>
    </row>
    <row r="249" spans="1:4" x14ac:dyDescent="0.25">
      <c r="A249" t="s">
        <v>248</v>
      </c>
      <c r="B249">
        <v>76</v>
      </c>
      <c r="D249" t="s">
        <v>503</v>
      </c>
    </row>
    <row r="250" spans="1:4" x14ac:dyDescent="0.25">
      <c r="A250" t="s">
        <v>249</v>
      </c>
      <c r="B250">
        <v>18</v>
      </c>
      <c r="D250" t="s">
        <v>504</v>
      </c>
    </row>
    <row r="251" spans="1:4" x14ac:dyDescent="0.25">
      <c r="A251" t="s">
        <v>250</v>
      </c>
      <c r="B251">
        <v>296</v>
      </c>
      <c r="D251" t="s">
        <v>505</v>
      </c>
    </row>
    <row r="252" spans="1:4" x14ac:dyDescent="0.25">
      <c r="A252" t="s">
        <v>251</v>
      </c>
      <c r="B252">
        <v>248</v>
      </c>
      <c r="D252" t="s">
        <v>506</v>
      </c>
    </row>
    <row r="253" spans="1:4" x14ac:dyDescent="0.25">
      <c r="A253" t="s">
        <v>252</v>
      </c>
      <c r="B253">
        <v>33</v>
      </c>
      <c r="D253" t="s">
        <v>507</v>
      </c>
    </row>
    <row r="254" spans="1:4" x14ac:dyDescent="0.25">
      <c r="A254" t="s">
        <v>253</v>
      </c>
      <c r="B254">
        <v>12</v>
      </c>
      <c r="C254">
        <f>SUM(B249:B254)/SUM(B:B)</f>
        <v>3.2696634592369191E-2</v>
      </c>
      <c r="D254" t="s">
        <v>508</v>
      </c>
    </row>
    <row r="255" spans="1:4" x14ac:dyDescent="0.25">
      <c r="A255" t="s">
        <v>254</v>
      </c>
      <c r="B255">
        <v>5</v>
      </c>
      <c r="D255" t="s">
        <v>509</v>
      </c>
    </row>
    <row r="256" spans="1:4" x14ac:dyDescent="0.25">
      <c r="A256" t="s">
        <v>255</v>
      </c>
      <c r="B256">
        <v>37</v>
      </c>
      <c r="D256" t="s">
        <v>510</v>
      </c>
    </row>
    <row r="257" spans="1:4" x14ac:dyDescent="0.25">
      <c r="A257" t="s">
        <v>256</v>
      </c>
      <c r="B257">
        <v>35</v>
      </c>
      <c r="D257" t="s">
        <v>511</v>
      </c>
    </row>
    <row r="258" spans="1:4" x14ac:dyDescent="0.25">
      <c r="A258" t="s">
        <v>257</v>
      </c>
      <c r="B258">
        <v>92</v>
      </c>
      <c r="C258">
        <f>SUM(B255:B258)/SUM(B:B)</f>
        <v>8.0903824979654364E-3</v>
      </c>
      <c r="D258" t="s">
        <v>523</v>
      </c>
    </row>
    <row r="259" spans="1:4" x14ac:dyDescent="0.25">
      <c r="A259" t="s">
        <v>258</v>
      </c>
      <c r="B259">
        <v>29</v>
      </c>
      <c r="D259" t="s">
        <v>512</v>
      </c>
    </row>
    <row r="260" spans="1:4" x14ac:dyDescent="0.25">
      <c r="A260" t="s">
        <v>259</v>
      </c>
      <c r="B260">
        <v>26</v>
      </c>
      <c r="C260">
        <f>SUM(B259:B260)/SUM(B:B)</f>
        <v>2.6329647182727752E-3</v>
      </c>
      <c r="D260" t="s">
        <v>522</v>
      </c>
    </row>
    <row r="261" spans="1:4" x14ac:dyDescent="0.25">
      <c r="D261" t="s">
        <v>513</v>
      </c>
    </row>
    <row r="262" spans="1:4" x14ac:dyDescent="0.25">
      <c r="D262" t="s">
        <v>514</v>
      </c>
    </row>
    <row r="263" spans="1:4" x14ac:dyDescent="0.25">
      <c r="D263" t="s">
        <v>515</v>
      </c>
    </row>
    <row r="264" spans="1:4" x14ac:dyDescent="0.25">
      <c r="D264" t="s">
        <v>516</v>
      </c>
    </row>
    <row r="265" spans="1:4" x14ac:dyDescent="0.25">
      <c r="D265" t="s">
        <v>517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A35F-280B-4BEA-B557-0840C904E5CB}">
  <dimension ref="A1:E260"/>
  <sheetViews>
    <sheetView tabSelected="1" workbookViewId="0">
      <selection activeCell="E1" sqref="E1:E1048576"/>
    </sheetView>
  </sheetViews>
  <sheetFormatPr defaultRowHeight="13.8" x14ac:dyDescent="0.25"/>
  <cols>
    <col min="1" max="1" width="32.44140625" customWidth="1"/>
    <col min="5" max="5" width="34.88671875" bestFit="1" customWidth="1"/>
  </cols>
  <sheetData>
    <row r="1" spans="1:5" x14ac:dyDescent="0.25">
      <c r="A1" t="s">
        <v>260</v>
      </c>
      <c r="B1">
        <v>45</v>
      </c>
      <c r="E1" t="s">
        <v>274</v>
      </c>
    </row>
    <row r="2" spans="1:5" x14ac:dyDescent="0.25">
      <c r="A2" t="s">
        <v>261</v>
      </c>
      <c r="B2">
        <v>21</v>
      </c>
      <c r="E2" t="s">
        <v>575</v>
      </c>
    </row>
    <row r="3" spans="1:5" x14ac:dyDescent="0.25">
      <c r="A3" t="s">
        <v>262</v>
      </c>
      <c r="B3">
        <v>31</v>
      </c>
      <c r="E3" t="s">
        <v>576</v>
      </c>
    </row>
    <row r="4" spans="1:5" x14ac:dyDescent="0.25">
      <c r="A4" t="s">
        <v>263</v>
      </c>
      <c r="B4">
        <v>0</v>
      </c>
      <c r="E4" t="s">
        <v>577</v>
      </c>
    </row>
    <row r="5" spans="1:5" x14ac:dyDescent="0.25">
      <c r="A5" t="s">
        <v>264</v>
      </c>
      <c r="B5">
        <v>2</v>
      </c>
      <c r="E5" t="s">
        <v>578</v>
      </c>
    </row>
    <row r="6" spans="1:5" x14ac:dyDescent="0.25">
      <c r="A6" t="s">
        <v>265</v>
      </c>
      <c r="B6">
        <v>178</v>
      </c>
      <c r="E6" t="s">
        <v>290</v>
      </c>
    </row>
    <row r="7" spans="1:5" x14ac:dyDescent="0.25">
      <c r="A7" t="s">
        <v>266</v>
      </c>
      <c r="B7">
        <v>7</v>
      </c>
      <c r="E7" t="s">
        <v>296</v>
      </c>
    </row>
    <row r="8" spans="1:5" x14ac:dyDescent="0.25">
      <c r="A8" t="s">
        <v>267</v>
      </c>
      <c r="B8">
        <v>7</v>
      </c>
      <c r="E8" t="s">
        <v>301</v>
      </c>
    </row>
    <row r="9" spans="1:5" x14ac:dyDescent="0.25">
      <c r="A9" t="s">
        <v>268</v>
      </c>
      <c r="B9">
        <v>25</v>
      </c>
      <c r="E9" t="s">
        <v>318</v>
      </c>
    </row>
    <row r="10" spans="1:5" x14ac:dyDescent="0.25">
      <c r="A10" t="s">
        <v>269</v>
      </c>
      <c r="B10">
        <v>113</v>
      </c>
      <c r="E10" t="s">
        <v>321</v>
      </c>
    </row>
    <row r="11" spans="1:5" x14ac:dyDescent="0.25">
      <c r="A11" t="s">
        <v>270</v>
      </c>
      <c r="B11">
        <v>15</v>
      </c>
      <c r="E11" t="s">
        <v>344</v>
      </c>
    </row>
    <row r="12" spans="1:5" x14ac:dyDescent="0.25">
      <c r="A12" t="s">
        <v>271</v>
      </c>
      <c r="B12">
        <v>72</v>
      </c>
      <c r="E12" t="s">
        <v>351</v>
      </c>
    </row>
    <row r="13" spans="1:5" x14ac:dyDescent="0.25">
      <c r="A13" t="s">
        <v>574</v>
      </c>
      <c r="B13">
        <v>75</v>
      </c>
      <c r="E13" t="s">
        <v>355</v>
      </c>
    </row>
    <row r="14" spans="1:5" x14ac:dyDescent="0.25">
      <c r="A14" t="s">
        <v>272</v>
      </c>
      <c r="B14">
        <v>63</v>
      </c>
      <c r="E14" t="s">
        <v>357</v>
      </c>
    </row>
    <row r="15" spans="1:5" x14ac:dyDescent="0.25">
      <c r="A15" t="s">
        <v>273</v>
      </c>
      <c r="B15">
        <v>60</v>
      </c>
      <c r="E15" t="s">
        <v>362</v>
      </c>
    </row>
    <row r="16" spans="1:5" x14ac:dyDescent="0.25">
      <c r="A16" t="s">
        <v>274</v>
      </c>
      <c r="B16">
        <v>59</v>
      </c>
      <c r="C16">
        <f>SUM(B1:B16)/SUM(B:B)</f>
        <v>3.0273361008850943E-2</v>
      </c>
      <c r="E16" t="s">
        <v>365</v>
      </c>
    </row>
    <row r="17" spans="1:5" x14ac:dyDescent="0.25">
      <c r="A17" t="s">
        <v>275</v>
      </c>
      <c r="B17">
        <v>0</v>
      </c>
      <c r="E17" t="s">
        <v>370</v>
      </c>
    </row>
    <row r="18" spans="1:5" x14ac:dyDescent="0.25">
      <c r="A18" t="s">
        <v>276</v>
      </c>
      <c r="B18">
        <v>10</v>
      </c>
      <c r="E18" t="s">
        <v>374</v>
      </c>
    </row>
    <row r="19" spans="1:5" x14ac:dyDescent="0.25">
      <c r="A19" t="s">
        <v>277</v>
      </c>
      <c r="B19">
        <v>30</v>
      </c>
      <c r="E19" t="s">
        <v>375</v>
      </c>
    </row>
    <row r="20" spans="1:5" x14ac:dyDescent="0.25">
      <c r="A20" t="s">
        <v>575</v>
      </c>
      <c r="B20">
        <v>69</v>
      </c>
      <c r="C20">
        <f>SUM(B17:B20)/SUM(B:B)</f>
        <v>4.2688180465262002E-3</v>
      </c>
      <c r="E20" t="s">
        <v>385</v>
      </c>
    </row>
    <row r="21" spans="1:5" x14ac:dyDescent="0.25">
      <c r="A21" t="s">
        <v>278</v>
      </c>
      <c r="B21">
        <v>2</v>
      </c>
      <c r="E21" t="s">
        <v>386</v>
      </c>
    </row>
    <row r="22" spans="1:5" x14ac:dyDescent="0.25">
      <c r="A22" t="s">
        <v>279</v>
      </c>
      <c r="B22">
        <v>0</v>
      </c>
      <c r="E22" t="s">
        <v>389</v>
      </c>
    </row>
    <row r="23" spans="1:5" x14ac:dyDescent="0.25">
      <c r="A23" t="s">
        <v>280</v>
      </c>
      <c r="B23">
        <v>3</v>
      </c>
      <c r="E23" t="s">
        <v>393</v>
      </c>
    </row>
    <row r="24" spans="1:5" x14ac:dyDescent="0.25">
      <c r="A24" t="s">
        <v>281</v>
      </c>
      <c r="B24">
        <v>108</v>
      </c>
      <c r="E24" t="s">
        <v>399</v>
      </c>
    </row>
    <row r="25" spans="1:5" x14ac:dyDescent="0.25">
      <c r="A25" t="s">
        <v>282</v>
      </c>
      <c r="B25">
        <v>0</v>
      </c>
      <c r="E25" t="s">
        <v>401</v>
      </c>
    </row>
    <row r="26" spans="1:5" x14ac:dyDescent="0.25">
      <c r="A26" t="s">
        <v>283</v>
      </c>
      <c r="B26">
        <v>61</v>
      </c>
      <c r="E26" t="s">
        <v>405</v>
      </c>
    </row>
    <row r="27" spans="1:5" x14ac:dyDescent="0.25">
      <c r="A27" t="s">
        <v>576</v>
      </c>
      <c r="B27">
        <v>0</v>
      </c>
      <c r="C27">
        <f>SUM(B21:B27)/SUM(B:B)</f>
        <v>6.8144434871152187E-3</v>
      </c>
      <c r="E27" t="s">
        <v>408</v>
      </c>
    </row>
    <row r="28" spans="1:5" x14ac:dyDescent="0.25">
      <c r="A28" t="s">
        <v>284</v>
      </c>
      <c r="B28">
        <v>9</v>
      </c>
      <c r="E28" t="s">
        <v>418</v>
      </c>
    </row>
    <row r="29" spans="1:5" x14ac:dyDescent="0.25">
      <c r="A29" t="s">
        <v>577</v>
      </c>
      <c r="B29">
        <v>11</v>
      </c>
      <c r="C29">
        <f>SUM(B28:B29)/SUM(B:B)</f>
        <v>7.8326936633508267E-4</v>
      </c>
      <c r="E29" t="s">
        <v>426</v>
      </c>
    </row>
    <row r="30" spans="1:5" x14ac:dyDescent="0.25">
      <c r="A30" t="s">
        <v>285</v>
      </c>
      <c r="B30">
        <v>706</v>
      </c>
      <c r="E30" t="s">
        <v>433</v>
      </c>
    </row>
    <row r="31" spans="1:5" x14ac:dyDescent="0.25">
      <c r="A31" t="s">
        <v>578</v>
      </c>
      <c r="B31">
        <v>768</v>
      </c>
      <c r="C31">
        <f>SUM(B30:B31)/SUM(B:B)</f>
        <v>5.7726952298895587E-2</v>
      </c>
      <c r="E31" t="s">
        <v>438</v>
      </c>
    </row>
    <row r="32" spans="1:5" x14ac:dyDescent="0.25">
      <c r="A32" t="s">
        <v>286</v>
      </c>
      <c r="B32">
        <v>22</v>
      </c>
      <c r="E32" t="s">
        <v>440</v>
      </c>
    </row>
    <row r="33" spans="1:5" x14ac:dyDescent="0.25">
      <c r="A33" t="s">
        <v>287</v>
      </c>
      <c r="B33">
        <v>59</v>
      </c>
      <c r="E33" t="s">
        <v>442</v>
      </c>
    </row>
    <row r="34" spans="1:5" x14ac:dyDescent="0.25">
      <c r="A34" t="s">
        <v>288</v>
      </c>
      <c r="B34">
        <v>182</v>
      </c>
      <c r="E34" t="s">
        <v>445</v>
      </c>
    </row>
    <row r="35" spans="1:5" x14ac:dyDescent="0.25">
      <c r="A35" t="s">
        <v>289</v>
      </c>
      <c r="B35">
        <v>53</v>
      </c>
      <c r="E35" t="s">
        <v>446</v>
      </c>
    </row>
    <row r="36" spans="1:5" x14ac:dyDescent="0.25">
      <c r="A36" t="s">
        <v>290</v>
      </c>
      <c r="B36">
        <v>50</v>
      </c>
      <c r="C36">
        <f>SUM(B32:B36)/SUM(B:B)</f>
        <v>1.4333829403932012E-2</v>
      </c>
      <c r="E36" t="s">
        <v>450</v>
      </c>
    </row>
    <row r="37" spans="1:5" x14ac:dyDescent="0.25">
      <c r="A37" t="s">
        <v>291</v>
      </c>
      <c r="B37">
        <v>565</v>
      </c>
      <c r="E37" t="s">
        <v>454</v>
      </c>
    </row>
    <row r="38" spans="1:5" x14ac:dyDescent="0.25">
      <c r="A38" t="s">
        <v>292</v>
      </c>
      <c r="B38">
        <v>39</v>
      </c>
      <c r="E38" t="s">
        <v>460</v>
      </c>
    </row>
    <row r="39" spans="1:5" x14ac:dyDescent="0.25">
      <c r="A39" t="s">
        <v>293</v>
      </c>
      <c r="B39">
        <v>21</v>
      </c>
      <c r="E39" t="s">
        <v>464</v>
      </c>
    </row>
    <row r="40" spans="1:5" x14ac:dyDescent="0.25">
      <c r="A40" t="s">
        <v>294</v>
      </c>
      <c r="B40">
        <v>44</v>
      </c>
      <c r="E40" t="s">
        <v>470</v>
      </c>
    </row>
    <row r="41" spans="1:5" x14ac:dyDescent="0.25">
      <c r="A41" t="s">
        <v>295</v>
      </c>
      <c r="B41">
        <v>377</v>
      </c>
      <c r="E41" t="s">
        <v>475</v>
      </c>
    </row>
    <row r="42" spans="1:5" x14ac:dyDescent="0.25">
      <c r="A42" t="s">
        <v>296</v>
      </c>
      <c r="B42">
        <v>89</v>
      </c>
      <c r="C42">
        <f>SUM(B37:B42)/SUM(B:B)</f>
        <v>4.4450536539515938E-2</v>
      </c>
      <c r="E42" t="s">
        <v>481</v>
      </c>
    </row>
    <row r="43" spans="1:5" x14ac:dyDescent="0.25">
      <c r="A43" t="s">
        <v>297</v>
      </c>
      <c r="B43">
        <v>273</v>
      </c>
      <c r="E43" t="s">
        <v>486</v>
      </c>
    </row>
    <row r="44" spans="1:5" x14ac:dyDescent="0.25">
      <c r="A44" t="s">
        <v>298</v>
      </c>
      <c r="B44">
        <v>75</v>
      </c>
      <c r="E44" t="s">
        <v>487</v>
      </c>
    </row>
    <row r="45" spans="1:5" x14ac:dyDescent="0.25">
      <c r="A45" t="s">
        <v>299</v>
      </c>
      <c r="B45">
        <v>37</v>
      </c>
      <c r="E45" t="s">
        <v>496</v>
      </c>
    </row>
    <row r="46" spans="1:5" x14ac:dyDescent="0.25">
      <c r="A46" t="s">
        <v>300</v>
      </c>
      <c r="B46">
        <v>242</v>
      </c>
      <c r="E46" t="s">
        <v>502</v>
      </c>
    </row>
    <row r="47" spans="1:5" x14ac:dyDescent="0.25">
      <c r="A47" t="s">
        <v>301</v>
      </c>
      <c r="B47">
        <v>29</v>
      </c>
      <c r="C47">
        <f>SUM(B43:B47)/SUM(B:B)</f>
        <v>2.5691235215790711E-2</v>
      </c>
      <c r="E47" t="s">
        <v>508</v>
      </c>
    </row>
    <row r="48" spans="1:5" x14ac:dyDescent="0.25">
      <c r="A48" t="s">
        <v>302</v>
      </c>
      <c r="B48">
        <v>3</v>
      </c>
      <c r="E48" t="s">
        <v>579</v>
      </c>
    </row>
    <row r="49" spans="1:5" x14ac:dyDescent="0.25">
      <c r="A49" t="s">
        <v>303</v>
      </c>
      <c r="B49">
        <v>1</v>
      </c>
      <c r="E49" t="s">
        <v>580</v>
      </c>
    </row>
    <row r="50" spans="1:5" x14ac:dyDescent="0.25">
      <c r="A50" t="s">
        <v>304</v>
      </c>
      <c r="B50">
        <v>90</v>
      </c>
    </row>
    <row r="51" spans="1:5" x14ac:dyDescent="0.25">
      <c r="A51" t="s">
        <v>305</v>
      </c>
      <c r="B51">
        <v>8</v>
      </c>
    </row>
    <row r="52" spans="1:5" x14ac:dyDescent="0.25">
      <c r="A52" t="s">
        <v>306</v>
      </c>
      <c r="B52">
        <v>0</v>
      </c>
    </row>
    <row r="53" spans="1:5" x14ac:dyDescent="0.25">
      <c r="A53" t="s">
        <v>307</v>
      </c>
      <c r="B53">
        <v>19</v>
      </c>
    </row>
    <row r="54" spans="1:5" x14ac:dyDescent="0.25">
      <c r="A54" t="s">
        <v>308</v>
      </c>
      <c r="B54">
        <v>11</v>
      </c>
    </row>
    <row r="55" spans="1:5" x14ac:dyDescent="0.25">
      <c r="A55" t="s">
        <v>309</v>
      </c>
      <c r="B55">
        <v>88</v>
      </c>
    </row>
    <row r="56" spans="1:5" x14ac:dyDescent="0.25">
      <c r="A56" t="s">
        <v>310</v>
      </c>
      <c r="B56">
        <v>16</v>
      </c>
    </row>
    <row r="57" spans="1:5" x14ac:dyDescent="0.25">
      <c r="A57" t="s">
        <v>311</v>
      </c>
      <c r="B57">
        <v>42</v>
      </c>
    </row>
    <row r="58" spans="1:5" x14ac:dyDescent="0.25">
      <c r="A58" t="s">
        <v>312</v>
      </c>
      <c r="B58">
        <v>3</v>
      </c>
    </row>
    <row r="59" spans="1:5" x14ac:dyDescent="0.25">
      <c r="A59" t="s">
        <v>313</v>
      </c>
      <c r="B59">
        <v>2</v>
      </c>
    </row>
    <row r="60" spans="1:5" x14ac:dyDescent="0.25">
      <c r="A60" t="s">
        <v>314</v>
      </c>
      <c r="B60">
        <v>25</v>
      </c>
    </row>
    <row r="61" spans="1:5" x14ac:dyDescent="0.25">
      <c r="A61" t="s">
        <v>315</v>
      </c>
      <c r="B61">
        <v>11</v>
      </c>
    </row>
    <row r="62" spans="1:5" x14ac:dyDescent="0.25">
      <c r="A62" t="s">
        <v>316</v>
      </c>
      <c r="B62">
        <v>5</v>
      </c>
    </row>
    <row r="63" spans="1:5" x14ac:dyDescent="0.25">
      <c r="A63" t="s">
        <v>317</v>
      </c>
      <c r="B63">
        <v>0</v>
      </c>
    </row>
    <row r="64" spans="1:5" x14ac:dyDescent="0.25">
      <c r="A64" t="s">
        <v>318</v>
      </c>
      <c r="B64">
        <v>1</v>
      </c>
      <c r="C64">
        <f>SUM(B48:B64)/SUM(B:B)</f>
        <v>1.2728127202945094E-2</v>
      </c>
    </row>
    <row r="65" spans="1:3" x14ac:dyDescent="0.25">
      <c r="A65" t="s">
        <v>319</v>
      </c>
      <c r="B65">
        <v>504</v>
      </c>
    </row>
    <row r="66" spans="1:3" x14ac:dyDescent="0.25">
      <c r="A66" t="s">
        <v>320</v>
      </c>
      <c r="B66">
        <v>595</v>
      </c>
    </row>
    <row r="67" spans="1:3" x14ac:dyDescent="0.25">
      <c r="A67" t="s">
        <v>321</v>
      </c>
      <c r="B67">
        <v>62</v>
      </c>
      <c r="C67">
        <f>SUM(B65:B67)/SUM(B:B)</f>
        <v>4.5468786715751545E-2</v>
      </c>
    </row>
    <row r="68" spans="1:3" x14ac:dyDescent="0.25">
      <c r="A68" t="s">
        <v>322</v>
      </c>
      <c r="B68">
        <v>3</v>
      </c>
    </row>
    <row r="69" spans="1:3" x14ac:dyDescent="0.25">
      <c r="A69" t="s">
        <v>323</v>
      </c>
      <c r="B69">
        <v>3</v>
      </c>
    </row>
    <row r="70" spans="1:3" x14ac:dyDescent="0.25">
      <c r="A70" t="s">
        <v>324</v>
      </c>
      <c r="B70">
        <v>23</v>
      </c>
    </row>
    <row r="71" spans="1:3" x14ac:dyDescent="0.25">
      <c r="A71" t="s">
        <v>325</v>
      </c>
      <c r="B71">
        <v>88</v>
      </c>
    </row>
    <row r="72" spans="1:3" x14ac:dyDescent="0.25">
      <c r="A72" t="s">
        <v>326</v>
      </c>
      <c r="B72">
        <v>0</v>
      </c>
    </row>
    <row r="73" spans="1:3" x14ac:dyDescent="0.25">
      <c r="A73" t="s">
        <v>327</v>
      </c>
      <c r="B73">
        <v>3</v>
      </c>
    </row>
    <row r="74" spans="1:3" x14ac:dyDescent="0.25">
      <c r="A74" t="s">
        <v>328</v>
      </c>
      <c r="B74">
        <v>0</v>
      </c>
    </row>
    <row r="75" spans="1:3" x14ac:dyDescent="0.25">
      <c r="A75" t="s">
        <v>329</v>
      </c>
      <c r="B75">
        <v>4</v>
      </c>
    </row>
    <row r="76" spans="1:3" x14ac:dyDescent="0.25">
      <c r="A76" t="s">
        <v>330</v>
      </c>
      <c r="B76">
        <v>11</v>
      </c>
    </row>
    <row r="77" spans="1:3" x14ac:dyDescent="0.25">
      <c r="A77" t="s">
        <v>331</v>
      </c>
      <c r="B77">
        <v>2</v>
      </c>
    </row>
    <row r="78" spans="1:3" x14ac:dyDescent="0.25">
      <c r="A78" t="s">
        <v>332</v>
      </c>
      <c r="B78">
        <v>26</v>
      </c>
    </row>
    <row r="79" spans="1:3" x14ac:dyDescent="0.25">
      <c r="A79" t="s">
        <v>333</v>
      </c>
      <c r="B79">
        <v>0</v>
      </c>
    </row>
    <row r="80" spans="1:3" x14ac:dyDescent="0.25">
      <c r="A80" t="s">
        <v>334</v>
      </c>
      <c r="B80">
        <v>0</v>
      </c>
    </row>
    <row r="81" spans="1:3" x14ac:dyDescent="0.25">
      <c r="A81" t="s">
        <v>335</v>
      </c>
      <c r="B81">
        <v>2</v>
      </c>
    </row>
    <row r="82" spans="1:3" x14ac:dyDescent="0.25">
      <c r="A82" t="s">
        <v>336</v>
      </c>
      <c r="B82">
        <v>102</v>
      </c>
    </row>
    <row r="83" spans="1:3" x14ac:dyDescent="0.25">
      <c r="A83" t="s">
        <v>337</v>
      </c>
      <c r="B83">
        <v>159</v>
      </c>
    </row>
    <row r="84" spans="1:3" x14ac:dyDescent="0.25">
      <c r="A84" t="s">
        <v>338</v>
      </c>
      <c r="B84">
        <v>7</v>
      </c>
    </row>
    <row r="85" spans="1:3" x14ac:dyDescent="0.25">
      <c r="A85" t="s">
        <v>339</v>
      </c>
      <c r="B85">
        <v>1</v>
      </c>
    </row>
    <row r="86" spans="1:3" x14ac:dyDescent="0.25">
      <c r="A86" t="s">
        <v>340</v>
      </c>
      <c r="B86">
        <v>3</v>
      </c>
    </row>
    <row r="87" spans="1:3" x14ac:dyDescent="0.25">
      <c r="A87" t="s">
        <v>341</v>
      </c>
      <c r="B87">
        <v>8</v>
      </c>
    </row>
    <row r="88" spans="1:3" x14ac:dyDescent="0.25">
      <c r="A88" t="s">
        <v>342</v>
      </c>
      <c r="B88">
        <v>11</v>
      </c>
    </row>
    <row r="89" spans="1:3" x14ac:dyDescent="0.25">
      <c r="A89" t="s">
        <v>343</v>
      </c>
      <c r="B89">
        <v>0</v>
      </c>
    </row>
    <row r="90" spans="1:3" x14ac:dyDescent="0.25">
      <c r="A90" t="s">
        <v>344</v>
      </c>
      <c r="B90">
        <v>0</v>
      </c>
      <c r="C90">
        <f>SUM(B68:B90)/SUM(B:B)</f>
        <v>1.7858541552439884E-2</v>
      </c>
    </row>
    <row r="91" spans="1:3" x14ac:dyDescent="0.25">
      <c r="A91" t="s">
        <v>345</v>
      </c>
      <c r="B91">
        <v>14</v>
      </c>
    </row>
    <row r="92" spans="1:3" x14ac:dyDescent="0.25">
      <c r="A92" t="s">
        <v>346</v>
      </c>
      <c r="B92">
        <v>6</v>
      </c>
    </row>
    <row r="93" spans="1:3" x14ac:dyDescent="0.25">
      <c r="A93" t="s">
        <v>347</v>
      </c>
      <c r="B93">
        <v>26</v>
      </c>
    </row>
    <row r="94" spans="1:3" x14ac:dyDescent="0.25">
      <c r="A94" t="s">
        <v>348</v>
      </c>
      <c r="B94">
        <v>44</v>
      </c>
    </row>
    <row r="95" spans="1:3" x14ac:dyDescent="0.25">
      <c r="A95" t="s">
        <v>349</v>
      </c>
      <c r="B95">
        <v>35</v>
      </c>
    </row>
    <row r="96" spans="1:3" x14ac:dyDescent="0.25">
      <c r="A96" t="s">
        <v>350</v>
      </c>
      <c r="B96">
        <v>80</v>
      </c>
    </row>
    <row r="97" spans="1:3" x14ac:dyDescent="0.25">
      <c r="A97" t="s">
        <v>351</v>
      </c>
      <c r="B97">
        <v>95</v>
      </c>
      <c r="C97">
        <f>SUM(B91:B97)/SUM(B:B)</f>
        <v>1.1749040495026239E-2</v>
      </c>
    </row>
    <row r="98" spans="1:3" x14ac:dyDescent="0.25">
      <c r="A98" t="s">
        <v>352</v>
      </c>
      <c r="B98">
        <v>4</v>
      </c>
    </row>
    <row r="99" spans="1:3" x14ac:dyDescent="0.25">
      <c r="A99" t="s">
        <v>353</v>
      </c>
      <c r="B99">
        <v>7</v>
      </c>
    </row>
    <row r="100" spans="1:3" x14ac:dyDescent="0.25">
      <c r="A100" t="s">
        <v>354</v>
      </c>
      <c r="B100">
        <v>3</v>
      </c>
    </row>
    <row r="101" spans="1:3" x14ac:dyDescent="0.25">
      <c r="A101" t="s">
        <v>355</v>
      </c>
      <c r="B101">
        <v>22</v>
      </c>
      <c r="C101">
        <f>SUM(B98:B101)/SUM(B:B)</f>
        <v>1.4098848594031488E-3</v>
      </c>
    </row>
    <row r="102" spans="1:3" x14ac:dyDescent="0.25">
      <c r="A102" t="s">
        <v>356</v>
      </c>
      <c r="B102">
        <v>438</v>
      </c>
    </row>
    <row r="103" spans="1:3" x14ac:dyDescent="0.25">
      <c r="A103" t="s">
        <v>357</v>
      </c>
      <c r="B103">
        <v>60</v>
      </c>
      <c r="C103">
        <f>SUM(B102:B103)/SUM(B:B)</f>
        <v>1.9503407221743558E-2</v>
      </c>
    </row>
    <row r="104" spans="1:3" x14ac:dyDescent="0.25">
      <c r="A104" t="s">
        <v>358</v>
      </c>
      <c r="B104">
        <v>215</v>
      </c>
    </row>
    <row r="105" spans="1:3" x14ac:dyDescent="0.25">
      <c r="A105" t="s">
        <v>359</v>
      </c>
      <c r="B105">
        <v>193</v>
      </c>
    </row>
    <row r="106" spans="1:3" x14ac:dyDescent="0.25">
      <c r="A106" t="s">
        <v>360</v>
      </c>
      <c r="B106">
        <v>744</v>
      </c>
    </row>
    <row r="107" spans="1:3" x14ac:dyDescent="0.25">
      <c r="A107" t="s">
        <v>361</v>
      </c>
      <c r="B107">
        <v>35</v>
      </c>
    </row>
    <row r="108" spans="1:3" x14ac:dyDescent="0.25">
      <c r="A108" t="s">
        <v>362</v>
      </c>
      <c r="B108">
        <v>52</v>
      </c>
      <c r="C108">
        <f>SUM(B104:B108)/SUM(B:B)</f>
        <v>4.8523537244458369E-2</v>
      </c>
    </row>
    <row r="109" spans="1:3" x14ac:dyDescent="0.25">
      <c r="A109" t="s">
        <v>363</v>
      </c>
      <c r="B109">
        <v>183</v>
      </c>
    </row>
    <row r="110" spans="1:3" x14ac:dyDescent="0.25">
      <c r="A110" t="s">
        <v>364</v>
      </c>
      <c r="B110">
        <v>1388</v>
      </c>
    </row>
    <row r="111" spans="1:3" x14ac:dyDescent="0.25">
      <c r="A111" t="s">
        <v>365</v>
      </c>
      <c r="B111">
        <v>153</v>
      </c>
      <c r="C111">
        <f>SUM(B109:B111)/SUM(B:B)</f>
        <v>6.7517819378084126E-2</v>
      </c>
    </row>
    <row r="112" spans="1:3" x14ac:dyDescent="0.25">
      <c r="A112" t="s">
        <v>366</v>
      </c>
      <c r="B112">
        <v>1708</v>
      </c>
    </row>
    <row r="113" spans="1:3" x14ac:dyDescent="0.25">
      <c r="A113" t="s">
        <v>367</v>
      </c>
      <c r="B113">
        <v>4627</v>
      </c>
    </row>
    <row r="114" spans="1:3" x14ac:dyDescent="0.25">
      <c r="A114" t="s">
        <v>368</v>
      </c>
      <c r="B114">
        <v>40</v>
      </c>
    </row>
    <row r="115" spans="1:3" x14ac:dyDescent="0.25">
      <c r="A115" t="s">
        <v>369</v>
      </c>
      <c r="B115">
        <v>898</v>
      </c>
    </row>
    <row r="116" spans="1:3" x14ac:dyDescent="0.25">
      <c r="A116" t="s">
        <v>370</v>
      </c>
      <c r="B116">
        <v>19</v>
      </c>
      <c r="C116">
        <f>SUM(B112:B116)/SUM(B:B)</f>
        <v>0.28558001096577112</v>
      </c>
    </row>
    <row r="117" spans="1:3" x14ac:dyDescent="0.25">
      <c r="A117" t="s">
        <v>371</v>
      </c>
      <c r="B117">
        <v>21</v>
      </c>
    </row>
    <row r="118" spans="1:3" x14ac:dyDescent="0.25">
      <c r="A118" t="s">
        <v>372</v>
      </c>
      <c r="B118">
        <v>15</v>
      </c>
    </row>
    <row r="119" spans="1:3" x14ac:dyDescent="0.25">
      <c r="A119" t="s">
        <v>373</v>
      </c>
      <c r="B119">
        <v>7</v>
      </c>
    </row>
    <row r="120" spans="1:3" x14ac:dyDescent="0.25">
      <c r="A120" t="s">
        <v>374</v>
      </c>
      <c r="B120">
        <v>44</v>
      </c>
      <c r="C120">
        <f>SUM(B117:B120)/SUM(B:B)</f>
        <v>3.4072217435576094E-3</v>
      </c>
    </row>
    <row r="121" spans="1:3" x14ac:dyDescent="0.25">
      <c r="A121" t="s">
        <v>375</v>
      </c>
      <c r="B121">
        <v>265</v>
      </c>
      <c r="C121">
        <f>B121/SUM(B:B)</f>
        <v>1.0378319103939845E-2</v>
      </c>
    </row>
    <row r="122" spans="1:3" x14ac:dyDescent="0.25">
      <c r="A122" t="s">
        <v>376</v>
      </c>
      <c r="B122">
        <v>2</v>
      </c>
    </row>
    <row r="123" spans="1:3" x14ac:dyDescent="0.25">
      <c r="A123" t="s">
        <v>377</v>
      </c>
      <c r="B123">
        <v>30</v>
      </c>
    </row>
    <row r="124" spans="1:3" x14ac:dyDescent="0.25">
      <c r="A124" t="s">
        <v>378</v>
      </c>
      <c r="B124">
        <v>1</v>
      </c>
    </row>
    <row r="125" spans="1:3" x14ac:dyDescent="0.25">
      <c r="A125" t="s">
        <v>379</v>
      </c>
      <c r="B125">
        <v>1</v>
      </c>
    </row>
    <row r="126" spans="1:3" x14ac:dyDescent="0.25">
      <c r="A126" t="s">
        <v>380</v>
      </c>
      <c r="B126">
        <v>0</v>
      </c>
    </row>
    <row r="127" spans="1:3" x14ac:dyDescent="0.25">
      <c r="A127" t="s">
        <v>381</v>
      </c>
      <c r="B127">
        <v>0</v>
      </c>
    </row>
    <row r="128" spans="1:3" x14ac:dyDescent="0.25">
      <c r="A128" t="s">
        <v>382</v>
      </c>
      <c r="B128">
        <v>2</v>
      </c>
    </row>
    <row r="129" spans="1:3" x14ac:dyDescent="0.25">
      <c r="A129" t="s">
        <v>383</v>
      </c>
      <c r="B129">
        <v>6</v>
      </c>
    </row>
    <row r="130" spans="1:3" x14ac:dyDescent="0.25">
      <c r="A130" t="s">
        <v>384</v>
      </c>
      <c r="B130">
        <v>6</v>
      </c>
    </row>
    <row r="131" spans="1:3" x14ac:dyDescent="0.25">
      <c r="A131" t="s">
        <v>385</v>
      </c>
      <c r="B131">
        <v>36</v>
      </c>
      <c r="C131">
        <f>SUM(B122:B131)/SUM(B:B)</f>
        <v>3.2897313386073472E-3</v>
      </c>
    </row>
    <row r="132" spans="1:3" x14ac:dyDescent="0.25">
      <c r="A132" t="s">
        <v>386</v>
      </c>
      <c r="B132">
        <v>31</v>
      </c>
      <c r="C132">
        <f>B132/SUM(B:B)</f>
        <v>1.2140675178193782E-3</v>
      </c>
    </row>
    <row r="133" spans="1:3" x14ac:dyDescent="0.25">
      <c r="A133" t="s">
        <v>387</v>
      </c>
      <c r="B133">
        <v>15</v>
      </c>
    </row>
    <row r="134" spans="1:3" x14ac:dyDescent="0.25">
      <c r="A134" t="s">
        <v>388</v>
      </c>
      <c r="B134">
        <v>4</v>
      </c>
    </row>
    <row r="135" spans="1:3" x14ac:dyDescent="0.25">
      <c r="A135" t="s">
        <v>389</v>
      </c>
      <c r="B135">
        <v>7</v>
      </c>
      <c r="C135">
        <f>SUM(B133:B135)/SUM(B:B)</f>
        <v>1.0182501762356073E-3</v>
      </c>
    </row>
    <row r="136" spans="1:3" x14ac:dyDescent="0.25">
      <c r="A136" t="s">
        <v>390</v>
      </c>
      <c r="B136">
        <v>5</v>
      </c>
    </row>
    <row r="137" spans="1:3" x14ac:dyDescent="0.25">
      <c r="A137" t="s">
        <v>391</v>
      </c>
      <c r="B137">
        <v>3</v>
      </c>
    </row>
    <row r="138" spans="1:3" x14ac:dyDescent="0.25">
      <c r="A138" t="s">
        <v>392</v>
      </c>
      <c r="B138">
        <v>8</v>
      </c>
    </row>
    <row r="139" spans="1:3" x14ac:dyDescent="0.25">
      <c r="A139" t="s">
        <v>393</v>
      </c>
      <c r="B139">
        <v>148</v>
      </c>
      <c r="C139">
        <f>SUM(B136:B139)/SUM(B:B)</f>
        <v>6.4228088039476779E-3</v>
      </c>
    </row>
    <row r="140" spans="1:3" x14ac:dyDescent="0.25">
      <c r="A140" t="s">
        <v>394</v>
      </c>
      <c r="B140">
        <v>85</v>
      </c>
    </row>
    <row r="141" spans="1:3" x14ac:dyDescent="0.25">
      <c r="A141" t="s">
        <v>395</v>
      </c>
      <c r="B141">
        <v>9</v>
      </c>
    </row>
    <row r="142" spans="1:3" x14ac:dyDescent="0.25">
      <c r="A142" t="s">
        <v>396</v>
      </c>
      <c r="B142">
        <v>1</v>
      </c>
    </row>
    <row r="143" spans="1:3" x14ac:dyDescent="0.25">
      <c r="A143" t="s">
        <v>397</v>
      </c>
      <c r="B143">
        <v>2</v>
      </c>
    </row>
    <row r="144" spans="1:3" x14ac:dyDescent="0.25">
      <c r="A144" t="s">
        <v>398</v>
      </c>
      <c r="B144">
        <v>134</v>
      </c>
    </row>
    <row r="145" spans="1:3" x14ac:dyDescent="0.25">
      <c r="A145" t="s">
        <v>399</v>
      </c>
      <c r="B145">
        <v>203</v>
      </c>
      <c r="C145">
        <f>SUM(B140:B145)/SUM(B:B)</f>
        <v>1.6996945249471294E-2</v>
      </c>
    </row>
    <row r="146" spans="1:3" x14ac:dyDescent="0.25">
      <c r="A146" t="s">
        <v>400</v>
      </c>
      <c r="B146">
        <v>59</v>
      </c>
    </row>
    <row r="147" spans="1:3" x14ac:dyDescent="0.25">
      <c r="A147" t="s">
        <v>401</v>
      </c>
      <c r="B147">
        <v>12</v>
      </c>
      <c r="C147">
        <f>SUM(B146:B147)/SUM(B:B)</f>
        <v>2.7806062504895433E-3</v>
      </c>
    </row>
    <row r="148" spans="1:3" x14ac:dyDescent="0.25">
      <c r="A148" t="s">
        <v>402</v>
      </c>
      <c r="B148">
        <v>98</v>
      </c>
    </row>
    <row r="149" spans="1:3" x14ac:dyDescent="0.25">
      <c r="A149" t="s">
        <v>403</v>
      </c>
      <c r="B149">
        <v>27</v>
      </c>
    </row>
    <row r="150" spans="1:3" x14ac:dyDescent="0.25">
      <c r="A150" t="s">
        <v>404</v>
      </c>
      <c r="B150">
        <v>171</v>
      </c>
    </row>
    <row r="151" spans="1:3" x14ac:dyDescent="0.25">
      <c r="A151" t="s">
        <v>405</v>
      </c>
      <c r="B151">
        <v>21</v>
      </c>
      <c r="C151">
        <f>SUM(B148:B151)/SUM(B:B)</f>
        <v>1.2414819456411061E-2</v>
      </c>
    </row>
    <row r="152" spans="1:3" x14ac:dyDescent="0.25">
      <c r="A152" t="s">
        <v>406</v>
      </c>
      <c r="B152">
        <v>12</v>
      </c>
    </row>
    <row r="153" spans="1:3" x14ac:dyDescent="0.25">
      <c r="A153" t="s">
        <v>407</v>
      </c>
      <c r="B153">
        <v>104</v>
      </c>
    </row>
    <row r="154" spans="1:3" x14ac:dyDescent="0.25">
      <c r="A154" t="s">
        <v>408</v>
      </c>
      <c r="B154">
        <v>83</v>
      </c>
      <c r="C154">
        <f>SUM(B152:B154)/SUM(B:B)</f>
        <v>7.7935301950340721E-3</v>
      </c>
    </row>
    <row r="155" spans="1:3" x14ac:dyDescent="0.25">
      <c r="A155" t="s">
        <v>409</v>
      </c>
      <c r="B155">
        <v>177</v>
      </c>
    </row>
    <row r="156" spans="1:3" x14ac:dyDescent="0.25">
      <c r="A156" t="s">
        <v>410</v>
      </c>
      <c r="B156">
        <v>34</v>
      </c>
    </row>
    <row r="157" spans="1:3" x14ac:dyDescent="0.25">
      <c r="A157" t="s">
        <v>411</v>
      </c>
      <c r="B157">
        <v>33</v>
      </c>
    </row>
    <row r="158" spans="1:3" x14ac:dyDescent="0.25">
      <c r="A158" t="s">
        <v>412</v>
      </c>
      <c r="B158">
        <v>0</v>
      </c>
    </row>
    <row r="159" spans="1:3" x14ac:dyDescent="0.25">
      <c r="A159" t="s">
        <v>413</v>
      </c>
      <c r="B159">
        <v>1</v>
      </c>
    </row>
    <row r="160" spans="1:3" x14ac:dyDescent="0.25">
      <c r="A160" t="s">
        <v>414</v>
      </c>
      <c r="B160">
        <v>1</v>
      </c>
    </row>
    <row r="161" spans="1:3" x14ac:dyDescent="0.25">
      <c r="A161" t="s">
        <v>415</v>
      </c>
      <c r="B161">
        <v>15</v>
      </c>
    </row>
    <row r="162" spans="1:3" x14ac:dyDescent="0.25">
      <c r="A162" t="s">
        <v>416</v>
      </c>
      <c r="B162">
        <v>177</v>
      </c>
    </row>
    <row r="163" spans="1:3" x14ac:dyDescent="0.25">
      <c r="A163" t="s">
        <v>417</v>
      </c>
      <c r="B163">
        <v>77</v>
      </c>
    </row>
    <row r="164" spans="1:3" x14ac:dyDescent="0.25">
      <c r="A164" t="s">
        <v>418</v>
      </c>
      <c r="B164">
        <v>40</v>
      </c>
      <c r="C164">
        <f>SUM(B155:B164)/SUM(B:B)</f>
        <v>2.1735724915798543E-2</v>
      </c>
    </row>
    <row r="165" spans="1:3" x14ac:dyDescent="0.25">
      <c r="A165" t="s">
        <v>419</v>
      </c>
      <c r="B165">
        <v>15</v>
      </c>
    </row>
    <row r="166" spans="1:3" x14ac:dyDescent="0.25">
      <c r="A166" t="s">
        <v>420</v>
      </c>
      <c r="B166">
        <v>309</v>
      </c>
    </row>
    <row r="167" spans="1:3" x14ac:dyDescent="0.25">
      <c r="A167" t="s">
        <v>421</v>
      </c>
      <c r="B167">
        <v>0</v>
      </c>
    </row>
    <row r="168" spans="1:3" x14ac:dyDescent="0.25">
      <c r="A168" t="s">
        <v>422</v>
      </c>
      <c r="B168">
        <v>10</v>
      </c>
    </row>
    <row r="169" spans="1:3" x14ac:dyDescent="0.25">
      <c r="A169" t="s">
        <v>423</v>
      </c>
      <c r="B169">
        <v>4</v>
      </c>
    </row>
    <row r="170" spans="1:3" x14ac:dyDescent="0.25">
      <c r="A170" t="s">
        <v>424</v>
      </c>
      <c r="B170">
        <v>6</v>
      </c>
    </row>
    <row r="171" spans="1:3" x14ac:dyDescent="0.25">
      <c r="A171" t="s">
        <v>425</v>
      </c>
      <c r="B171">
        <v>22</v>
      </c>
    </row>
    <row r="172" spans="1:3" x14ac:dyDescent="0.25">
      <c r="A172" t="s">
        <v>426</v>
      </c>
      <c r="B172">
        <v>129</v>
      </c>
      <c r="C172">
        <f>SUM(B165:B172)/SUM(B:B)</f>
        <v>1.9385916816793296E-2</v>
      </c>
    </row>
    <row r="173" spans="1:3" x14ac:dyDescent="0.25">
      <c r="A173" t="s">
        <v>427</v>
      </c>
      <c r="B173">
        <v>19</v>
      </c>
    </row>
    <row r="174" spans="1:3" x14ac:dyDescent="0.25">
      <c r="A174" t="s">
        <v>428</v>
      </c>
      <c r="B174">
        <v>8</v>
      </c>
    </row>
    <row r="175" spans="1:3" x14ac:dyDescent="0.25">
      <c r="A175" t="s">
        <v>429</v>
      </c>
      <c r="B175">
        <v>12</v>
      </c>
    </row>
    <row r="176" spans="1:3" x14ac:dyDescent="0.25">
      <c r="A176" t="s">
        <v>430</v>
      </c>
      <c r="B176">
        <v>88</v>
      </c>
    </row>
    <row r="177" spans="1:3" x14ac:dyDescent="0.25">
      <c r="A177" t="s">
        <v>431</v>
      </c>
      <c r="B177">
        <v>3</v>
      </c>
    </row>
    <row r="178" spans="1:3" x14ac:dyDescent="0.25">
      <c r="A178" t="s">
        <v>432</v>
      </c>
      <c r="B178">
        <v>33</v>
      </c>
    </row>
    <row r="179" spans="1:3" x14ac:dyDescent="0.25">
      <c r="A179" t="s">
        <v>433</v>
      </c>
      <c r="B179">
        <v>80</v>
      </c>
      <c r="C179">
        <f>SUM(B173:B179)/SUM(B:B)</f>
        <v>9.5167228009712546E-3</v>
      </c>
    </row>
    <row r="180" spans="1:3" x14ac:dyDescent="0.25">
      <c r="A180" t="s">
        <v>434</v>
      </c>
      <c r="B180">
        <v>1</v>
      </c>
    </row>
    <row r="181" spans="1:3" x14ac:dyDescent="0.25">
      <c r="A181" t="s">
        <v>435</v>
      </c>
      <c r="B181">
        <v>0</v>
      </c>
    </row>
    <row r="182" spans="1:3" x14ac:dyDescent="0.25">
      <c r="A182" t="s">
        <v>436</v>
      </c>
      <c r="B182">
        <v>5</v>
      </c>
    </row>
    <row r="183" spans="1:3" x14ac:dyDescent="0.25">
      <c r="A183" t="s">
        <v>437</v>
      </c>
      <c r="B183">
        <v>128</v>
      </c>
    </row>
    <row r="184" spans="1:3" x14ac:dyDescent="0.25">
      <c r="A184" t="s">
        <v>438</v>
      </c>
      <c r="B184">
        <v>135</v>
      </c>
      <c r="C184">
        <f>SUM(B180:B184)/SUM(B:B)</f>
        <v>1.0534972977206861E-2</v>
      </c>
    </row>
    <row r="185" spans="1:3" x14ac:dyDescent="0.25">
      <c r="A185" t="s">
        <v>439</v>
      </c>
      <c r="B185">
        <v>47</v>
      </c>
    </row>
    <row r="186" spans="1:3" x14ac:dyDescent="0.25">
      <c r="A186" t="s">
        <v>440</v>
      </c>
      <c r="B186">
        <v>3</v>
      </c>
      <c r="C186">
        <f>SUM(B185:B186)/SUM(B:B)</f>
        <v>1.9581734158377064E-3</v>
      </c>
    </row>
    <row r="187" spans="1:3" x14ac:dyDescent="0.25">
      <c r="A187" t="s">
        <v>441</v>
      </c>
      <c r="B187">
        <v>1</v>
      </c>
    </row>
    <row r="188" spans="1:3" x14ac:dyDescent="0.25">
      <c r="A188" t="s">
        <v>442</v>
      </c>
      <c r="B188">
        <v>36</v>
      </c>
      <c r="C188">
        <f>SUM(B187:B188)/SUM(B:B)</f>
        <v>1.449048327719903E-3</v>
      </c>
    </row>
    <row r="189" spans="1:3" x14ac:dyDescent="0.25">
      <c r="A189" t="s">
        <v>443</v>
      </c>
      <c r="B189">
        <v>16</v>
      </c>
    </row>
    <row r="190" spans="1:3" x14ac:dyDescent="0.25">
      <c r="A190" t="s">
        <v>444</v>
      </c>
      <c r="B190">
        <v>10</v>
      </c>
    </row>
    <row r="191" spans="1:3" x14ac:dyDescent="0.25">
      <c r="A191" t="s">
        <v>445</v>
      </c>
      <c r="B191">
        <v>3</v>
      </c>
      <c r="C191">
        <f>SUM(B189:B191)/SUM(B:B)</f>
        <v>1.1357405811858697E-3</v>
      </c>
    </row>
    <row r="192" spans="1:3" x14ac:dyDescent="0.25">
      <c r="A192" t="s">
        <v>446</v>
      </c>
      <c r="B192">
        <v>87</v>
      </c>
      <c r="C192">
        <f>B192/SUM(B:B)</f>
        <v>3.4072217435576094E-3</v>
      </c>
    </row>
    <row r="193" spans="1:3" x14ac:dyDescent="0.25">
      <c r="A193" t="s">
        <v>447</v>
      </c>
      <c r="B193">
        <v>2</v>
      </c>
    </row>
    <row r="194" spans="1:3" x14ac:dyDescent="0.25">
      <c r="A194" t="s">
        <v>448</v>
      </c>
      <c r="B194">
        <v>48</v>
      </c>
    </row>
    <row r="195" spans="1:3" x14ac:dyDescent="0.25">
      <c r="A195" t="s">
        <v>449</v>
      </c>
      <c r="B195">
        <v>14</v>
      </c>
    </row>
    <row r="196" spans="1:3" x14ac:dyDescent="0.25">
      <c r="A196" t="s">
        <v>450</v>
      </c>
      <c r="B196">
        <v>12</v>
      </c>
      <c r="C196">
        <f>SUM(B193:B196)/SUM(B:B)</f>
        <v>2.9764235920733142E-3</v>
      </c>
    </row>
    <row r="197" spans="1:3" x14ac:dyDescent="0.25">
      <c r="A197" t="s">
        <v>451</v>
      </c>
      <c r="B197">
        <v>3</v>
      </c>
    </row>
    <row r="198" spans="1:3" x14ac:dyDescent="0.25">
      <c r="A198" t="s">
        <v>452</v>
      </c>
      <c r="B198">
        <v>3</v>
      </c>
    </row>
    <row r="199" spans="1:3" x14ac:dyDescent="0.25">
      <c r="A199" t="s">
        <v>453</v>
      </c>
      <c r="B199">
        <v>7</v>
      </c>
    </row>
    <row r="200" spans="1:3" x14ac:dyDescent="0.25">
      <c r="A200" t="s">
        <v>454</v>
      </c>
      <c r="B200">
        <v>226</v>
      </c>
      <c r="C200">
        <f>SUM(B197:B200)/SUM(B:B)</f>
        <v>9.3600689277042372E-3</v>
      </c>
    </row>
    <row r="201" spans="1:3" x14ac:dyDescent="0.25">
      <c r="A201" t="s">
        <v>455</v>
      </c>
      <c r="B201">
        <v>19</v>
      </c>
    </row>
    <row r="202" spans="1:3" x14ac:dyDescent="0.25">
      <c r="A202" t="s">
        <v>456</v>
      </c>
      <c r="B202">
        <v>14</v>
      </c>
    </row>
    <row r="203" spans="1:3" x14ac:dyDescent="0.25">
      <c r="A203" t="s">
        <v>457</v>
      </c>
      <c r="B203">
        <v>24</v>
      </c>
    </row>
    <row r="204" spans="1:3" x14ac:dyDescent="0.25">
      <c r="A204" t="s">
        <v>458</v>
      </c>
      <c r="B204">
        <v>111</v>
      </c>
    </row>
    <row r="205" spans="1:3" x14ac:dyDescent="0.25">
      <c r="A205" t="s">
        <v>459</v>
      </c>
      <c r="B205">
        <v>7</v>
      </c>
    </row>
    <row r="206" spans="1:3" x14ac:dyDescent="0.25">
      <c r="A206" t="s">
        <v>460</v>
      </c>
      <c r="B206">
        <v>40</v>
      </c>
      <c r="C206">
        <f>SUM(B201:B206)/SUM(B:B)</f>
        <v>8.4201456881021382E-3</v>
      </c>
    </row>
    <row r="207" spans="1:3" x14ac:dyDescent="0.25">
      <c r="A207" t="s">
        <v>461</v>
      </c>
      <c r="B207">
        <v>232</v>
      </c>
    </row>
    <row r="208" spans="1:3" x14ac:dyDescent="0.25">
      <c r="A208" t="s">
        <v>462</v>
      </c>
      <c r="B208">
        <v>3</v>
      </c>
    </row>
    <row r="209" spans="1:3" x14ac:dyDescent="0.25">
      <c r="A209" t="s">
        <v>463</v>
      </c>
      <c r="B209">
        <v>17</v>
      </c>
    </row>
    <row r="210" spans="1:3" x14ac:dyDescent="0.25">
      <c r="A210" t="s">
        <v>464</v>
      </c>
      <c r="B210">
        <v>74</v>
      </c>
      <c r="C210">
        <f>SUM(B207:B210)/SUM(B:B)</f>
        <v>1.2767290671261847E-2</v>
      </c>
    </row>
    <row r="211" spans="1:3" x14ac:dyDescent="0.25">
      <c r="A211" t="s">
        <v>465</v>
      </c>
      <c r="B211">
        <v>4</v>
      </c>
    </row>
    <row r="212" spans="1:3" x14ac:dyDescent="0.25">
      <c r="A212" t="s">
        <v>466</v>
      </c>
      <c r="B212">
        <v>2</v>
      </c>
    </row>
    <row r="213" spans="1:3" x14ac:dyDescent="0.25">
      <c r="A213" t="s">
        <v>467</v>
      </c>
      <c r="B213">
        <v>9</v>
      </c>
    </row>
    <row r="214" spans="1:3" x14ac:dyDescent="0.25">
      <c r="A214" t="s">
        <v>468</v>
      </c>
      <c r="B214">
        <v>21</v>
      </c>
    </row>
    <row r="215" spans="1:3" x14ac:dyDescent="0.25">
      <c r="A215" t="s">
        <v>469</v>
      </c>
      <c r="B215">
        <v>0</v>
      </c>
    </row>
    <row r="216" spans="1:3" x14ac:dyDescent="0.25">
      <c r="A216" t="s">
        <v>470</v>
      </c>
      <c r="B216">
        <v>20</v>
      </c>
      <c r="C216">
        <f>SUM(B211:B216)/SUM(B:B)</f>
        <v>2.1931542257382312E-3</v>
      </c>
    </row>
    <row r="217" spans="1:3" x14ac:dyDescent="0.25">
      <c r="A217" t="s">
        <v>471</v>
      </c>
      <c r="B217">
        <v>73</v>
      </c>
    </row>
    <row r="218" spans="1:3" x14ac:dyDescent="0.25">
      <c r="A218" t="s">
        <v>472</v>
      </c>
      <c r="B218">
        <v>16</v>
      </c>
    </row>
    <row r="219" spans="1:3" x14ac:dyDescent="0.25">
      <c r="A219" t="s">
        <v>473</v>
      </c>
      <c r="B219">
        <v>18</v>
      </c>
    </row>
    <row r="220" spans="1:3" x14ac:dyDescent="0.25">
      <c r="A220" t="s">
        <v>474</v>
      </c>
      <c r="B220">
        <v>44</v>
      </c>
    </row>
    <row r="221" spans="1:3" x14ac:dyDescent="0.25">
      <c r="A221" t="s">
        <v>475</v>
      </c>
      <c r="B221">
        <v>20</v>
      </c>
      <c r="C221">
        <f>SUM(B217:B221)/SUM(B:B)</f>
        <v>6.6969530821649565E-3</v>
      </c>
    </row>
    <row r="222" spans="1:3" x14ac:dyDescent="0.25">
      <c r="A222" t="s">
        <v>476</v>
      </c>
      <c r="B222">
        <v>90</v>
      </c>
    </row>
    <row r="223" spans="1:3" x14ac:dyDescent="0.25">
      <c r="A223" t="s">
        <v>477</v>
      </c>
      <c r="B223">
        <v>69</v>
      </c>
    </row>
    <row r="224" spans="1:3" x14ac:dyDescent="0.25">
      <c r="A224" t="s">
        <v>478</v>
      </c>
      <c r="B224">
        <v>24</v>
      </c>
    </row>
    <row r="225" spans="1:3" x14ac:dyDescent="0.25">
      <c r="A225" t="s">
        <v>479</v>
      </c>
      <c r="B225">
        <v>1</v>
      </c>
    </row>
    <row r="226" spans="1:3" x14ac:dyDescent="0.25">
      <c r="A226" t="s">
        <v>480</v>
      </c>
      <c r="B226">
        <v>28</v>
      </c>
    </row>
    <row r="227" spans="1:3" x14ac:dyDescent="0.25">
      <c r="A227" t="s">
        <v>481</v>
      </c>
      <c r="B227">
        <v>0</v>
      </c>
      <c r="C227">
        <f>SUM(B222:B227)/SUM(B:B)</f>
        <v>8.302655283151876E-3</v>
      </c>
    </row>
    <row r="228" spans="1:3" x14ac:dyDescent="0.25">
      <c r="A228" t="s">
        <v>482</v>
      </c>
      <c r="B228">
        <v>32</v>
      </c>
    </row>
    <row r="229" spans="1:3" x14ac:dyDescent="0.25">
      <c r="A229" t="s">
        <v>483</v>
      </c>
      <c r="B229">
        <v>244</v>
      </c>
    </row>
    <row r="230" spans="1:3" x14ac:dyDescent="0.25">
      <c r="A230" t="s">
        <v>484</v>
      </c>
      <c r="B230">
        <v>4</v>
      </c>
    </row>
    <row r="231" spans="1:3" x14ac:dyDescent="0.25">
      <c r="A231" t="s">
        <v>485</v>
      </c>
      <c r="B231">
        <v>39</v>
      </c>
    </row>
    <row r="232" spans="1:3" x14ac:dyDescent="0.25">
      <c r="A232" t="s">
        <v>486</v>
      </c>
      <c r="B232">
        <v>8</v>
      </c>
      <c r="C232">
        <f>SUM(B228:B232)/SUM(B:B)</f>
        <v>1.2806454139578601E-2</v>
      </c>
    </row>
    <row r="233" spans="1:3" x14ac:dyDescent="0.25">
      <c r="A233" t="s">
        <v>487</v>
      </c>
      <c r="B233">
        <v>267</v>
      </c>
      <c r="C233">
        <f>B233/SUM(B:B)</f>
        <v>1.0456646040573354E-2</v>
      </c>
    </row>
    <row r="234" spans="1:3" x14ac:dyDescent="0.25">
      <c r="A234" t="s">
        <v>488</v>
      </c>
      <c r="B234">
        <v>1</v>
      </c>
    </row>
    <row r="235" spans="1:3" x14ac:dyDescent="0.25">
      <c r="A235" t="s">
        <v>489</v>
      </c>
      <c r="B235">
        <v>0</v>
      </c>
    </row>
    <row r="236" spans="1:3" x14ac:dyDescent="0.25">
      <c r="A236" t="s">
        <v>490</v>
      </c>
      <c r="B236">
        <v>1</v>
      </c>
    </row>
    <row r="237" spans="1:3" x14ac:dyDescent="0.25">
      <c r="A237" t="s">
        <v>491</v>
      </c>
      <c r="B237">
        <v>19</v>
      </c>
    </row>
    <row r="238" spans="1:3" x14ac:dyDescent="0.25">
      <c r="A238" t="s">
        <v>492</v>
      </c>
      <c r="B238">
        <v>0</v>
      </c>
    </row>
    <row r="239" spans="1:3" x14ac:dyDescent="0.25">
      <c r="A239" t="s">
        <v>493</v>
      </c>
      <c r="B239">
        <v>2</v>
      </c>
    </row>
    <row r="240" spans="1:3" x14ac:dyDescent="0.25">
      <c r="A240" t="s">
        <v>494</v>
      </c>
      <c r="B240">
        <v>13</v>
      </c>
    </row>
    <row r="241" spans="1:3" x14ac:dyDescent="0.25">
      <c r="A241" t="s">
        <v>495</v>
      </c>
      <c r="B241">
        <v>8</v>
      </c>
    </row>
    <row r="242" spans="1:3" x14ac:dyDescent="0.25">
      <c r="A242" t="s">
        <v>496</v>
      </c>
      <c r="B242">
        <v>118</v>
      </c>
      <c r="C242">
        <f>SUM(B234:B242)/SUM(B:B)</f>
        <v>6.3444818673141692E-3</v>
      </c>
    </row>
    <row r="243" spans="1:3" x14ac:dyDescent="0.25">
      <c r="A243" t="s">
        <v>497</v>
      </c>
      <c r="B243">
        <v>0</v>
      </c>
    </row>
    <row r="244" spans="1:3" x14ac:dyDescent="0.25">
      <c r="A244" t="s">
        <v>498</v>
      </c>
      <c r="B244">
        <v>2</v>
      </c>
    </row>
    <row r="245" spans="1:3" x14ac:dyDescent="0.25">
      <c r="A245" t="s">
        <v>499</v>
      </c>
      <c r="B245">
        <v>69</v>
      </c>
    </row>
    <row r="246" spans="1:3" x14ac:dyDescent="0.25">
      <c r="A246" t="s">
        <v>500</v>
      </c>
      <c r="B246">
        <v>5</v>
      </c>
    </row>
    <row r="247" spans="1:3" x14ac:dyDescent="0.25">
      <c r="A247" t="s">
        <v>501</v>
      </c>
      <c r="B247">
        <v>102</v>
      </c>
    </row>
    <row r="248" spans="1:3" x14ac:dyDescent="0.25">
      <c r="A248" t="s">
        <v>502</v>
      </c>
      <c r="B248">
        <v>102</v>
      </c>
      <c r="C248">
        <f>SUM(B243:B248)/SUM(B:B)</f>
        <v>1.0965771128691158E-2</v>
      </c>
    </row>
    <row r="249" spans="1:3" x14ac:dyDescent="0.25">
      <c r="A249" t="s">
        <v>503</v>
      </c>
      <c r="B249">
        <v>181</v>
      </c>
    </row>
    <row r="250" spans="1:3" x14ac:dyDescent="0.25">
      <c r="A250" t="s">
        <v>504</v>
      </c>
      <c r="B250">
        <v>42</v>
      </c>
    </row>
    <row r="251" spans="1:3" x14ac:dyDescent="0.25">
      <c r="A251" t="s">
        <v>505</v>
      </c>
      <c r="B251">
        <v>416</v>
      </c>
    </row>
    <row r="252" spans="1:3" x14ac:dyDescent="0.25">
      <c r="A252" t="s">
        <v>506</v>
      </c>
      <c r="B252">
        <v>309</v>
      </c>
    </row>
    <row r="253" spans="1:3" x14ac:dyDescent="0.25">
      <c r="A253" t="s">
        <v>507</v>
      </c>
      <c r="B253">
        <v>35</v>
      </c>
    </row>
    <row r="254" spans="1:3" x14ac:dyDescent="0.25">
      <c r="A254" t="s">
        <v>508</v>
      </c>
      <c r="B254">
        <v>6</v>
      </c>
      <c r="C254">
        <f>SUM(B249:B254)/SUM(B:B)</f>
        <v>3.8732670165269836E-2</v>
      </c>
    </row>
    <row r="255" spans="1:3" x14ac:dyDescent="0.25">
      <c r="A255" t="s">
        <v>509</v>
      </c>
      <c r="B255">
        <v>3</v>
      </c>
    </row>
    <row r="256" spans="1:3" x14ac:dyDescent="0.25">
      <c r="A256" t="s">
        <v>510</v>
      </c>
      <c r="B256">
        <v>33</v>
      </c>
    </row>
    <row r="257" spans="1:3" x14ac:dyDescent="0.25">
      <c r="A257" t="s">
        <v>511</v>
      </c>
      <c r="B257">
        <v>55</v>
      </c>
    </row>
    <row r="258" spans="1:3" x14ac:dyDescent="0.25">
      <c r="A258" t="s">
        <v>579</v>
      </c>
      <c r="B258">
        <v>710</v>
      </c>
      <c r="C258">
        <f>SUM(B255:B258)/SUM(B:B)</f>
        <v>3.1369938121720058E-2</v>
      </c>
    </row>
    <row r="259" spans="1:3" x14ac:dyDescent="0.25">
      <c r="A259" t="s">
        <v>512</v>
      </c>
      <c r="B259">
        <v>67</v>
      </c>
    </row>
    <row r="260" spans="1:3" x14ac:dyDescent="0.25">
      <c r="A260" t="s">
        <v>580</v>
      </c>
      <c r="B260">
        <v>165</v>
      </c>
      <c r="C260">
        <f>SUM(B259:B260)/SUM(B:B)</f>
        <v>9.0859246494869577E-3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A549_ctr_trna_nanopore_readcoun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jing.jiang</cp:lastModifiedBy>
  <dcterms:created xsi:type="dcterms:W3CDTF">2024-07-31T09:21:10Z</dcterms:created>
  <dcterms:modified xsi:type="dcterms:W3CDTF">2024-08-29T06:40:30Z</dcterms:modified>
</cp:coreProperties>
</file>